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ersheng/Desktop/web_project/public-note/side-project/"/>
    </mc:Choice>
  </mc:AlternateContent>
  <xr:revisionPtr revIDLastSave="0" documentId="13_ncr:1_{E0E8B4A2-BF58-C840-AC96-4A96F0787D5E}" xr6:coauthVersionLast="47" xr6:coauthVersionMax="47" xr10:uidLastSave="{00000000-0000-0000-0000-000000000000}"/>
  <bookViews>
    <workbookView xWindow="0" yWindow="620" windowWidth="40960" windowHeight="20800" xr2:uid="{00000000-000D-0000-FFFF-FFFF00000000}"/>
  </bookViews>
  <sheets>
    <sheet name="学习进度追踪" sheetId="1" r:id="rId1"/>
    <sheet name="n1" sheetId="2" r:id="rId2"/>
    <sheet name="Git" sheetId="3" r:id="rId3"/>
  </sheets>
  <definedNames>
    <definedName name="_xlnm._FilterDatabase" localSheetId="0" hidden="1">学习进度追踪!$A$1:$I$215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" i="2"/>
  <c r="K22" i="1"/>
  <c r="H4" i="3"/>
  <c r="H3" i="3"/>
  <c r="G215" i="1"/>
  <c r="J215" i="1" s="1"/>
  <c r="G214" i="1"/>
  <c r="J214" i="1" s="1"/>
  <c r="G213" i="1"/>
  <c r="J213" i="1" s="1"/>
  <c r="G212" i="1"/>
  <c r="J212" i="1" s="1"/>
  <c r="G210" i="1"/>
  <c r="J210" i="1" s="1"/>
  <c r="G209" i="1"/>
  <c r="J209" i="1" s="1"/>
  <c r="G208" i="1"/>
  <c r="J208" i="1" s="1"/>
  <c r="G207" i="1"/>
  <c r="J207" i="1" s="1"/>
  <c r="G206" i="1"/>
  <c r="J206" i="1" s="1"/>
  <c r="G204" i="1"/>
  <c r="J204" i="1" s="1"/>
  <c r="G203" i="1"/>
  <c r="J203" i="1" s="1"/>
  <c r="G202" i="1"/>
  <c r="J202" i="1" s="1"/>
  <c r="G201" i="1"/>
  <c r="J201" i="1" s="1"/>
  <c r="G200" i="1"/>
  <c r="J200" i="1" s="1"/>
  <c r="G199" i="1"/>
  <c r="J199" i="1" s="1"/>
  <c r="G198" i="1"/>
  <c r="J198" i="1" s="1"/>
  <c r="G196" i="1"/>
  <c r="J196" i="1" s="1"/>
  <c r="G195" i="1"/>
  <c r="J195" i="1" s="1"/>
  <c r="G194" i="1"/>
  <c r="J194" i="1" s="1"/>
  <c r="G193" i="1"/>
  <c r="J193" i="1" s="1"/>
  <c r="G192" i="1"/>
  <c r="J192" i="1" s="1"/>
  <c r="G191" i="1"/>
  <c r="J191" i="1" s="1"/>
  <c r="G190" i="1"/>
  <c r="J190" i="1" s="1"/>
  <c r="G189" i="1"/>
  <c r="J189" i="1" s="1"/>
  <c r="G188" i="1"/>
  <c r="J188" i="1" s="1"/>
  <c r="G187" i="1"/>
  <c r="J187" i="1" s="1"/>
  <c r="G186" i="1"/>
  <c r="J186" i="1" s="1"/>
  <c r="G185" i="1"/>
  <c r="J185" i="1" s="1"/>
  <c r="G183" i="1"/>
  <c r="J183" i="1" s="1"/>
  <c r="G182" i="1"/>
  <c r="J182" i="1" s="1"/>
  <c r="G181" i="1"/>
  <c r="J181" i="1" s="1"/>
  <c r="G180" i="1"/>
  <c r="J180" i="1" s="1"/>
  <c r="G179" i="1"/>
  <c r="J179" i="1" s="1"/>
  <c r="G178" i="1"/>
  <c r="J178" i="1" s="1"/>
  <c r="G177" i="1"/>
  <c r="J177" i="1" s="1"/>
  <c r="G176" i="1"/>
  <c r="J176" i="1" s="1"/>
  <c r="G175" i="1"/>
  <c r="J175" i="1" s="1"/>
  <c r="G174" i="1"/>
  <c r="J174" i="1" s="1"/>
  <c r="G172" i="1"/>
  <c r="J172" i="1" s="1"/>
  <c r="G171" i="1"/>
  <c r="J171" i="1" s="1"/>
  <c r="G170" i="1"/>
  <c r="J170" i="1" s="1"/>
  <c r="G169" i="1"/>
  <c r="J169" i="1" s="1"/>
  <c r="G167" i="1"/>
  <c r="J167" i="1" s="1"/>
  <c r="G166" i="1"/>
  <c r="J166" i="1" s="1"/>
  <c r="G165" i="1"/>
  <c r="J165" i="1" s="1"/>
  <c r="G164" i="1"/>
  <c r="J164" i="1" s="1"/>
  <c r="G162" i="1"/>
  <c r="J162" i="1" s="1"/>
  <c r="G161" i="1"/>
  <c r="J161" i="1" s="1"/>
  <c r="G160" i="1"/>
  <c r="J160" i="1" s="1"/>
  <c r="G158" i="1"/>
  <c r="J158" i="1" s="1"/>
  <c r="G157" i="1"/>
  <c r="J157" i="1" s="1"/>
  <c r="G156" i="1"/>
  <c r="J156" i="1" s="1"/>
  <c r="G155" i="1"/>
  <c r="J155" i="1" s="1"/>
  <c r="G153" i="1"/>
  <c r="J153" i="1" s="1"/>
  <c r="G152" i="1"/>
  <c r="J152" i="1" s="1"/>
  <c r="G151" i="1"/>
  <c r="J151" i="1" s="1"/>
  <c r="G150" i="1"/>
  <c r="J150" i="1" s="1"/>
  <c r="G149" i="1"/>
  <c r="J149" i="1" s="1"/>
  <c r="G148" i="1"/>
  <c r="J148" i="1" s="1"/>
  <c r="G146" i="1"/>
  <c r="J146" i="1" s="1"/>
  <c r="G145" i="1"/>
  <c r="J145" i="1" s="1"/>
  <c r="G144" i="1"/>
  <c r="J144" i="1" s="1"/>
  <c r="G143" i="1"/>
  <c r="J143" i="1" s="1"/>
  <c r="G142" i="1"/>
  <c r="J142" i="1" s="1"/>
  <c r="G141" i="1"/>
  <c r="J141" i="1" s="1"/>
  <c r="G140" i="1"/>
  <c r="J140" i="1" s="1"/>
  <c r="G138" i="1"/>
  <c r="J138" i="1" s="1"/>
  <c r="G137" i="1"/>
  <c r="J137" i="1" s="1"/>
  <c r="G136" i="1"/>
  <c r="J136" i="1" s="1"/>
  <c r="G135" i="1"/>
  <c r="J135" i="1" s="1"/>
  <c r="G134" i="1"/>
  <c r="J134" i="1" s="1"/>
  <c r="G132" i="1"/>
  <c r="J132" i="1" s="1"/>
  <c r="G131" i="1"/>
  <c r="J131" i="1" s="1"/>
  <c r="G130" i="1"/>
  <c r="J130" i="1" s="1"/>
  <c r="G129" i="1"/>
  <c r="J129" i="1" s="1"/>
  <c r="G128" i="1"/>
  <c r="J128" i="1" s="1"/>
  <c r="G127" i="1"/>
  <c r="J127" i="1" s="1"/>
  <c r="G125" i="1"/>
  <c r="J125" i="1" s="1"/>
  <c r="G124" i="1"/>
  <c r="J124" i="1" s="1"/>
  <c r="G123" i="1"/>
  <c r="J123" i="1" s="1"/>
  <c r="G122" i="1"/>
  <c r="J122" i="1" s="1"/>
  <c r="G121" i="1"/>
  <c r="J121" i="1" s="1"/>
  <c r="G119" i="1"/>
  <c r="J119" i="1" s="1"/>
  <c r="G118" i="1"/>
  <c r="J118" i="1" s="1"/>
  <c r="G117" i="1"/>
  <c r="J117" i="1" s="1"/>
  <c r="G116" i="1"/>
  <c r="J116" i="1" s="1"/>
  <c r="G115" i="1"/>
  <c r="J115" i="1" s="1"/>
  <c r="G114" i="1"/>
  <c r="J114" i="1" s="1"/>
  <c r="G113" i="1"/>
  <c r="J113" i="1" s="1"/>
  <c r="G112" i="1"/>
  <c r="J112" i="1" s="1"/>
  <c r="G111" i="1"/>
  <c r="J111" i="1" s="1"/>
  <c r="G110" i="1"/>
  <c r="J110" i="1" s="1"/>
  <c r="G109" i="1"/>
  <c r="J109" i="1" s="1"/>
  <c r="G108" i="1"/>
  <c r="J108" i="1" s="1"/>
  <c r="G107" i="1"/>
  <c r="J107" i="1" s="1"/>
  <c r="G106" i="1"/>
  <c r="J106" i="1" s="1"/>
  <c r="G105" i="1"/>
  <c r="J105" i="1" s="1"/>
  <c r="G104" i="1"/>
  <c r="J104" i="1" s="1"/>
  <c r="G103" i="1"/>
  <c r="J103" i="1" s="1"/>
  <c r="G102" i="1"/>
  <c r="J102" i="1" s="1"/>
  <c r="G101" i="1"/>
  <c r="J101" i="1" s="1"/>
  <c r="G100" i="1"/>
  <c r="J100" i="1" s="1"/>
  <c r="G99" i="1"/>
  <c r="J99" i="1" s="1"/>
  <c r="G98" i="1"/>
  <c r="J98" i="1" s="1"/>
  <c r="G97" i="1"/>
  <c r="J97" i="1" s="1"/>
  <c r="G96" i="1"/>
  <c r="J96" i="1" s="1"/>
  <c r="G95" i="1"/>
  <c r="J95" i="1" s="1"/>
  <c r="G93" i="1"/>
  <c r="J93" i="1" s="1"/>
  <c r="G92" i="1"/>
  <c r="J92" i="1" s="1"/>
  <c r="G91" i="1"/>
  <c r="J91" i="1" s="1"/>
  <c r="G90" i="1"/>
  <c r="J90" i="1" s="1"/>
  <c r="G88" i="1"/>
  <c r="J88" i="1" s="1"/>
  <c r="G87" i="1"/>
  <c r="J87" i="1" s="1"/>
  <c r="G86" i="1"/>
  <c r="G85" i="1"/>
  <c r="G84" i="1"/>
  <c r="G83" i="1"/>
  <c r="G82" i="1"/>
  <c r="G81" i="1"/>
  <c r="G79" i="1"/>
  <c r="G78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J22" i="1" s="1"/>
  <c r="G21" i="1"/>
  <c r="G20" i="1"/>
  <c r="G19" i="1"/>
  <c r="G18" i="1"/>
  <c r="G17" i="1"/>
  <c r="G16" i="1"/>
  <c r="G15" i="1"/>
  <c r="G14" i="1"/>
  <c r="G13" i="1"/>
  <c r="G11" i="1"/>
  <c r="G10" i="1"/>
  <c r="G9" i="1"/>
  <c r="G8" i="1"/>
  <c r="G7" i="1"/>
  <c r="G6" i="1"/>
  <c r="G5" i="1"/>
  <c r="G4" i="1"/>
  <c r="G3" i="1"/>
  <c r="K181" i="1" l="1"/>
  <c r="K149" i="1"/>
  <c r="K116" i="1"/>
  <c r="K107" i="1"/>
  <c r="K92" i="1"/>
  <c r="K83" i="1"/>
  <c r="J83" i="1" s="1"/>
  <c r="K197" i="1"/>
  <c r="K133" i="1"/>
  <c r="K213" i="1"/>
  <c r="K182" i="1"/>
  <c r="K117" i="1"/>
  <c r="K166" i="1"/>
  <c r="K165" i="1"/>
  <c r="K214" i="1"/>
  <c r="K150" i="1"/>
  <c r="K198" i="1"/>
  <c r="K134" i="1"/>
  <c r="K109" i="1"/>
  <c r="K108" i="1"/>
  <c r="K101" i="1"/>
  <c r="K212" i="1"/>
  <c r="K180" i="1"/>
  <c r="K148" i="1"/>
  <c r="K195" i="1"/>
  <c r="K163" i="1"/>
  <c r="K131" i="1"/>
  <c r="K206" i="1"/>
  <c r="K174" i="1"/>
  <c r="K142" i="1"/>
  <c r="K189" i="1"/>
  <c r="K141" i="1"/>
  <c r="K39" i="1"/>
  <c r="J39" i="1" s="1"/>
  <c r="K204" i="1"/>
  <c r="K188" i="1"/>
  <c r="K172" i="1"/>
  <c r="K156" i="1"/>
  <c r="K140" i="1"/>
  <c r="K124" i="1"/>
  <c r="K100" i="1"/>
  <c r="K196" i="1"/>
  <c r="K164" i="1"/>
  <c r="K132" i="1"/>
  <c r="K211" i="1"/>
  <c r="K179" i="1"/>
  <c r="K147" i="1"/>
  <c r="K190" i="1"/>
  <c r="K158" i="1"/>
  <c r="K126" i="1"/>
  <c r="K205" i="1"/>
  <c r="K173" i="1"/>
  <c r="K157" i="1"/>
  <c r="K125" i="1"/>
  <c r="K203" i="1"/>
  <c r="K187" i="1"/>
  <c r="K171" i="1"/>
  <c r="K155" i="1"/>
  <c r="K139" i="1"/>
  <c r="K123" i="1"/>
  <c r="K93" i="1"/>
  <c r="K115" i="1"/>
  <c r="K91" i="1"/>
  <c r="K82" i="1"/>
  <c r="J82" i="1" s="1"/>
  <c r="K210" i="1"/>
  <c r="K202" i="1"/>
  <c r="K194" i="1"/>
  <c r="K186" i="1"/>
  <c r="K178" i="1"/>
  <c r="K170" i="1"/>
  <c r="K162" i="1"/>
  <c r="K154" i="1"/>
  <c r="K146" i="1"/>
  <c r="K138" i="1"/>
  <c r="K130" i="1"/>
  <c r="K122" i="1"/>
  <c r="K114" i="1"/>
  <c r="K106" i="1"/>
  <c r="K98" i="1"/>
  <c r="K90" i="1"/>
  <c r="K81" i="1"/>
  <c r="J81" i="1" s="1"/>
  <c r="K209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99" i="1"/>
  <c r="K80" i="1"/>
  <c r="K208" i="1"/>
  <c r="K200" i="1"/>
  <c r="K192" i="1"/>
  <c r="K184" i="1"/>
  <c r="K176" i="1"/>
  <c r="K168" i="1"/>
  <c r="K160" i="1"/>
  <c r="K152" i="1"/>
  <c r="K144" i="1"/>
  <c r="K136" i="1"/>
  <c r="K128" i="1"/>
  <c r="K120" i="1"/>
  <c r="K112" i="1"/>
  <c r="K104" i="1"/>
  <c r="K96" i="1"/>
  <c r="K88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118" i="1"/>
  <c r="K110" i="1"/>
  <c r="K102" i="1"/>
  <c r="K94" i="1"/>
  <c r="K86" i="1"/>
  <c r="J86" i="1" s="1"/>
  <c r="K85" i="1"/>
  <c r="J85" i="1" s="1"/>
  <c r="K84" i="1"/>
  <c r="J84" i="1" s="1"/>
  <c r="K46" i="1"/>
  <c r="J46" i="1" s="1"/>
  <c r="K45" i="1"/>
  <c r="J45" i="1" s="1"/>
  <c r="K44" i="1"/>
  <c r="J44" i="1" s="1"/>
  <c r="K43" i="1"/>
  <c r="J43" i="1" s="1"/>
  <c r="K42" i="1"/>
  <c r="J42" i="1" s="1"/>
  <c r="K32" i="1"/>
  <c r="J32" i="1" s="1"/>
  <c r="K24" i="1"/>
  <c r="J24" i="1" s="1"/>
  <c r="K73" i="1"/>
  <c r="J73" i="1" s="1"/>
  <c r="K65" i="1"/>
  <c r="J65" i="1" s="1"/>
  <c r="K57" i="1"/>
  <c r="J57" i="1" s="1"/>
  <c r="K49" i="1"/>
  <c r="J49" i="1" s="1"/>
  <c r="K41" i="1"/>
  <c r="J41" i="1" s="1"/>
  <c r="K37" i="1"/>
  <c r="J37" i="1" s="1"/>
  <c r="K79" i="1"/>
  <c r="J79" i="1" s="1"/>
  <c r="K62" i="1"/>
  <c r="J62" i="1" s="1"/>
  <c r="K28" i="1"/>
  <c r="J28" i="1" s="1"/>
  <c r="K78" i="1"/>
  <c r="J78" i="1" s="1"/>
  <c r="K61" i="1"/>
  <c r="J61" i="1" s="1"/>
  <c r="K35" i="1"/>
  <c r="J35" i="1" s="1"/>
  <c r="K68" i="1"/>
  <c r="J68" i="1" s="1"/>
  <c r="K52" i="1"/>
  <c r="J52" i="1" s="1"/>
  <c r="K26" i="1"/>
  <c r="J26" i="1" s="1"/>
  <c r="K67" i="1"/>
  <c r="J67" i="1" s="1"/>
  <c r="K51" i="1"/>
  <c r="J51" i="1" s="1"/>
  <c r="K25" i="1"/>
  <c r="J25" i="1" s="1"/>
  <c r="K66" i="1"/>
  <c r="J66" i="1" s="1"/>
  <c r="K58" i="1"/>
  <c r="J58" i="1" s="1"/>
  <c r="K31" i="1"/>
  <c r="J31" i="1" s="1"/>
  <c r="K23" i="1"/>
  <c r="J23" i="1" s="1"/>
  <c r="K72" i="1"/>
  <c r="J72" i="1" s="1"/>
  <c r="K64" i="1"/>
  <c r="J64" i="1" s="1"/>
  <c r="K56" i="1"/>
  <c r="J56" i="1" s="1"/>
  <c r="K48" i="1"/>
  <c r="J48" i="1" s="1"/>
  <c r="K40" i="1"/>
  <c r="J40" i="1" s="1"/>
  <c r="K29" i="1"/>
  <c r="J29" i="1" s="1"/>
  <c r="K70" i="1"/>
  <c r="J70" i="1" s="1"/>
  <c r="K54" i="1"/>
  <c r="J54" i="1" s="1"/>
  <c r="K36" i="1"/>
  <c r="J36" i="1" s="1"/>
  <c r="K69" i="1"/>
  <c r="J69" i="1" s="1"/>
  <c r="K53" i="1"/>
  <c r="J53" i="1" s="1"/>
  <c r="K27" i="1"/>
  <c r="J27" i="1" s="1"/>
  <c r="K76" i="1"/>
  <c r="J76" i="1" s="1"/>
  <c r="K60" i="1"/>
  <c r="J60" i="1" s="1"/>
  <c r="K34" i="1"/>
  <c r="J34" i="1" s="1"/>
  <c r="K75" i="1"/>
  <c r="J75" i="1" s="1"/>
  <c r="K59" i="1"/>
  <c r="J59" i="1" s="1"/>
  <c r="K33" i="1"/>
  <c r="J33" i="1" s="1"/>
  <c r="K74" i="1"/>
  <c r="J74" i="1" s="1"/>
  <c r="K50" i="1"/>
  <c r="J50" i="1" s="1"/>
  <c r="K38" i="1"/>
  <c r="J38" i="1" s="1"/>
  <c r="K30" i="1"/>
  <c r="J30" i="1" s="1"/>
  <c r="K71" i="1"/>
  <c r="J71" i="1" s="1"/>
  <c r="K63" i="1"/>
  <c r="J63" i="1" s="1"/>
  <c r="K55" i="1"/>
  <c r="J55" i="1" s="1"/>
  <c r="K47" i="1"/>
  <c r="J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tc={1F17599A-7801-DD42-9181-9FD3B35CA247}</author>
  </authors>
  <commentList>
    <comment ref="O3" authorId="0" shapeId="0" xr:uid="{1F17599A-7801-DD42-9181-9FD3B35CA2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ERSHENG:
2026-10-02，下载了firefox浏览器，以满足网页测试中的相关要求（多rendiner engine测试
Reply:
    如何弄一个本地测试服务器？当前在VSC中已经安装了一个插件，但不够灵活，后续可能要尝试新的选项；
Reply:
    尝试tinyPNG 以用于压缩图片等 操作，替代方案是苹果设备中的 preview /预览。 稍微复杂一些的选项包括 photopea  这类线上工具。 
Reply:
    网页部署： 1. Github Pages,在用的；Netlify，已经与github联通
 2. codepen, JSFiddle 做简单的demo;  3. </t>
      </text>
    </comment>
  </commentList>
</comments>
</file>

<file path=xl/sharedStrings.xml><?xml version="1.0" encoding="utf-8"?>
<sst xmlns="http://schemas.openxmlformats.org/spreadsheetml/2006/main" count="978" uniqueCount="466">
  <si>
    <t>Introduction</t>
  </si>
  <si>
    <t>Welcome</t>
  </si>
  <si>
    <t>Welcome to the Fullstack Path</t>
  </si>
  <si>
    <t>2:01</t>
  </si>
  <si>
    <t>课程</t>
  </si>
  <si>
    <t>Learn the Platform (10 min)</t>
  </si>
  <si>
    <t>Let's Make a Cake!</t>
  </si>
  <si>
    <t>7:17</t>
  </si>
  <si>
    <t>练习</t>
  </si>
  <si>
    <t>The Scrimba Community</t>
  </si>
  <si>
    <t>3:20</t>
  </si>
  <si>
    <t>Your First App (11 min)</t>
  </si>
  <si>
    <t>Add your Name and Emoji</t>
  </si>
  <si>
    <t>2:41</t>
  </si>
  <si>
    <t>项目</t>
  </si>
  <si>
    <t>Display Photos</t>
  </si>
  <si>
    <t>2:16</t>
  </si>
  <si>
    <t>Change the Background Image</t>
  </si>
  <si>
    <t>1:19</t>
  </si>
  <si>
    <t>Choose a Color</t>
  </si>
  <si>
    <t>1:03</t>
  </si>
  <si>
    <t>Set the Font, Border, and Column Count</t>
  </si>
  <si>
    <t>2:25</t>
  </si>
  <si>
    <t>Share your website</t>
  </si>
  <si>
    <t>1:35</t>
  </si>
  <si>
    <t>Welcome to HTML &amp; CSS</t>
  </si>
  <si>
    <t>1:39</t>
  </si>
  <si>
    <t>Intro to HTML (62 min)</t>
  </si>
  <si>
    <t>HTML tags</t>
  </si>
  <si>
    <t>3:18</t>
  </si>
  <si>
    <t>Write a news article!</t>
  </si>
  <si>
    <t>2:06</t>
  </si>
  <si>
    <t>Aside: Proper HTML heading structure</t>
  </si>
  <si>
    <t>The &lt;img&gt; tag</t>
  </si>
  <si>
    <t>4:56</t>
  </si>
  <si>
    <t>Nesting</t>
  </si>
  <si>
    <t>2:49</t>
  </si>
  <si>
    <t>Internet superpowers - Change the BBC news!</t>
  </si>
  <si>
    <t>4:57</t>
  </si>
  <si>
    <t>Buttons</t>
  </si>
  <si>
    <t>1:59</t>
  </si>
  <si>
    <t>Input tags</t>
  </si>
  <si>
    <t>4:55</t>
  </si>
  <si>
    <t>Let's build Google!</t>
  </si>
  <si>
    <t>3:50</t>
  </si>
  <si>
    <t>Anchor tags</t>
  </si>
  <si>
    <t>4:33</t>
  </si>
  <si>
    <t>Add an anchor tag to Google.com</t>
  </si>
  <si>
    <t>Proper document structure</t>
  </si>
  <si>
    <t>5:42</t>
  </si>
  <si>
    <t>Lists</t>
  </si>
  <si>
    <t>3:54</t>
  </si>
  <si>
    <t>Build a Personal Website</t>
  </si>
  <si>
    <t>8:42</t>
  </si>
  <si>
    <t>Deploy your Personal Website</t>
  </si>
  <si>
    <t>3:13</t>
  </si>
  <si>
    <t>Recap</t>
  </si>
  <si>
    <t>1:52</t>
  </si>
  <si>
    <t>Learning in public</t>
  </si>
  <si>
    <t>2:56</t>
  </si>
  <si>
    <t>Intro to CSS</t>
  </si>
  <si>
    <t>Let's learn CSS!</t>
  </si>
  <si>
    <t>0:46</t>
  </si>
  <si>
    <t>Write your first lines of CSS!</t>
  </si>
  <si>
    <t>4:16</t>
  </si>
  <si>
    <t>Write your first lines of CSS! - Solution</t>
  </si>
  <si>
    <t>3:10</t>
  </si>
  <si>
    <t>Let's destroy wikipedia</t>
  </si>
  <si>
    <t>1:05</t>
  </si>
  <si>
    <t>Link to the CSS file</t>
  </si>
  <si>
    <t>2:36</t>
  </si>
  <si>
    <t>Set the width of the elements</t>
  </si>
  <si>
    <t>2:05</t>
  </si>
  <si>
    <t>Inline vs block elements</t>
  </si>
  <si>
    <t>2:15</t>
  </si>
  <si>
    <t>Margin top</t>
  </si>
  <si>
    <t>1:13</t>
  </si>
  <si>
    <t>Divs rule the world</t>
  </si>
  <si>
    <t>2:02</t>
  </si>
  <si>
    <t>CSS classes</t>
  </si>
  <si>
    <t>3:53</t>
  </si>
  <si>
    <t>Learn margins via flags</t>
  </si>
  <si>
    <t>5:54</t>
  </si>
  <si>
    <t>Add space between our elements</t>
  </si>
  <si>
    <t>Centering with margins</t>
  </si>
  <si>
    <t>3:23</t>
  </si>
  <si>
    <t>Centering our content</t>
  </si>
  <si>
    <t>Padding</t>
  </si>
  <si>
    <t>5:17</t>
  </si>
  <si>
    <t>Border and border-radius</t>
  </si>
  <si>
    <t>5:06</t>
  </si>
  <si>
    <t>Aside challenge: style Twitter button</t>
  </si>
  <si>
    <t>4:59</t>
  </si>
  <si>
    <t>Fix the input field</t>
  </si>
  <si>
    <t>4:43</t>
  </si>
  <si>
    <t>Center the button</t>
  </si>
  <si>
    <t>Style the button</t>
  </si>
  <si>
    <t>4:26</t>
  </si>
  <si>
    <t>Why we can't have two block-level buttons</t>
  </si>
  <si>
    <t>4:25</t>
  </si>
  <si>
    <t>Flexbox</t>
  </si>
  <si>
    <t>3:40</t>
  </si>
  <si>
    <t>Centering both buttons with flexbox</t>
  </si>
  <si>
    <t>2:52</t>
  </si>
  <si>
    <t>Google clone recap</t>
  </si>
  <si>
    <t>2:04</t>
  </si>
  <si>
    <t>Want to become a Scrimbassador?</t>
  </si>
  <si>
    <t>1:09</t>
  </si>
  <si>
    <t>Build a Business Card</t>
  </si>
  <si>
    <t>Building your digital business card</t>
  </si>
  <si>
    <t>0:29</t>
  </si>
  <si>
    <t>Fix the image path</t>
  </si>
  <si>
    <t>2:53</t>
  </si>
  <si>
    <t>More on Relative Paths</t>
  </si>
  <si>
    <t>6:57</t>
  </si>
  <si>
    <t>Add alt attribute</t>
  </si>
  <si>
    <t>4:24</t>
  </si>
  <si>
    <t>Make image smaller</t>
  </si>
  <si>
    <t>Add a border and padding</t>
  </si>
  <si>
    <t>3:46</t>
  </si>
  <si>
    <t>Flexbox child containers</t>
  </si>
  <si>
    <t>3:37</t>
  </si>
  <si>
    <t>Flex item containers</t>
  </si>
  <si>
    <t>1:37</t>
  </si>
  <si>
    <t>Add a utility class</t>
  </si>
  <si>
    <t>3:09</t>
  </si>
  <si>
    <t>Justify the items</t>
  </si>
  <si>
    <t>Center the card</t>
  </si>
  <si>
    <t>1:56</t>
  </si>
  <si>
    <t>Aside: inheritance (Updated)</t>
  </si>
  <si>
    <t>5:23</t>
  </si>
  <si>
    <t>Center the text via inheritance</t>
  </si>
  <si>
    <t>2:57</t>
  </si>
  <si>
    <t>Add colors</t>
  </si>
  <si>
    <t>3:21</t>
  </si>
  <si>
    <t>Web-safe fonts</t>
  </si>
  <si>
    <t>5:05</t>
  </si>
  <si>
    <t>Margin/padding shorthand</t>
  </si>
  <si>
    <t>3:59</t>
  </si>
  <si>
    <t>Use the margin&amp;padding shorthands</t>
  </si>
  <si>
    <t>Make it your own!</t>
  </si>
  <si>
    <t>3:01</t>
  </si>
  <si>
    <t>Deploying with GitHub and Netlify</t>
  </si>
  <si>
    <t>4:46</t>
  </si>
  <si>
    <t>Git &amp; GitHub Intro</t>
  </si>
  <si>
    <t>5:48</t>
  </si>
  <si>
    <t>Business Card recap</t>
  </si>
  <si>
    <t>2:09</t>
  </si>
  <si>
    <t>Space Exploration &amp; Hometown</t>
  </si>
  <si>
    <t>Build a Space Exploration Layout</t>
  </si>
  <si>
    <t>46 min</t>
  </si>
  <si>
    <t>Solo Project: Hometown Homepage</t>
  </si>
  <si>
    <t>9 min</t>
  </si>
  <si>
    <t>JavaScript Fundamentals</t>
  </si>
  <si>
    <t>Welcome to JavaScript Fundamentals</t>
  </si>
  <si>
    <t>0:51</t>
  </si>
  <si>
    <t>Build a Counter App</t>
  </si>
  <si>
    <t>94 min</t>
  </si>
  <si>
    <t>Solo Project - Basketball Scoreboard</t>
  </si>
  <si>
    <t>4:21</t>
  </si>
  <si>
    <t>Git and GitHub basics</t>
  </si>
  <si>
    <t>12 min</t>
  </si>
  <si>
    <t>Build a Blackjack Game</t>
  </si>
  <si>
    <t>3.2 hrs</t>
  </si>
  <si>
    <t>Solo Project - Password Generator</t>
  </si>
  <si>
    <t>2:43</t>
  </si>
  <si>
    <t>Build a Chrome Extension</t>
  </si>
  <si>
    <t>3.3 hrs</t>
  </si>
  <si>
    <t>Solo Project - Unit converter</t>
  </si>
  <si>
    <t>1:54</t>
  </si>
  <si>
    <t>Tools of the Trade</t>
  </si>
  <si>
    <t>Welcome to Tools of the Trade</t>
  </si>
  <si>
    <t>0:44</t>
  </si>
  <si>
    <t>Command Line Fundamentals</t>
  </si>
  <si>
    <t>44 min</t>
  </si>
  <si>
    <t>Command Line Power Tools</t>
  </si>
  <si>
    <t>57 min</t>
  </si>
  <si>
    <t>Essential Git and GitHub Skills</t>
  </si>
  <si>
    <t>26 min</t>
  </si>
  <si>
    <t>Accessible Development</t>
  </si>
  <si>
    <t>Welcome to Accessible Development</t>
  </si>
  <si>
    <t>1:06</t>
  </si>
  <si>
    <t>Understanding web accessibility</t>
  </si>
  <si>
    <t>4:49</t>
  </si>
  <si>
    <t>Aside: Text contrast</t>
  </si>
  <si>
    <t>3:49</t>
  </si>
  <si>
    <t>Aside: Use of color</t>
  </si>
  <si>
    <t>1:18</t>
  </si>
  <si>
    <t>Text contrast</t>
  </si>
  <si>
    <t>6:31</t>
  </si>
  <si>
    <t>Aside: Alternative text</t>
  </si>
  <si>
    <t>5:33</t>
  </si>
  <si>
    <t>Aside: Links</t>
  </si>
  <si>
    <t>7:19</t>
  </si>
  <si>
    <t>Links and alternative text</t>
  </si>
  <si>
    <t>5:07</t>
  </si>
  <si>
    <t>Aside: Labels</t>
  </si>
  <si>
    <t>6:12</t>
  </si>
  <si>
    <t>Aside: Radio buttons</t>
  </si>
  <si>
    <t>Labels</t>
  </si>
  <si>
    <t>Semantic HTML</t>
  </si>
  <si>
    <t>5:45</t>
  </si>
  <si>
    <t>4:42</t>
  </si>
  <si>
    <t>Text-size</t>
  </si>
  <si>
    <t>Headings</t>
  </si>
  <si>
    <t>2:51</t>
  </si>
  <si>
    <t>ARIA</t>
  </si>
  <si>
    <t>5:13</t>
  </si>
  <si>
    <t>ARIA live regions</t>
  </si>
  <si>
    <t>5:50</t>
  </si>
  <si>
    <t>Aside: Accessible JavaScript</t>
  </si>
  <si>
    <t>Aside: Hiding content</t>
  </si>
  <si>
    <t>Aside: Skip Navigation Link Part 1</t>
  </si>
  <si>
    <t>3:31</t>
  </si>
  <si>
    <t>Aside: Skip Navigation Link Part 2</t>
  </si>
  <si>
    <t>2:00</t>
  </si>
  <si>
    <t>Skip Navigation Link</t>
  </si>
  <si>
    <t>1:43</t>
  </si>
  <si>
    <t>Final challenge part 1</t>
  </si>
  <si>
    <t>2:38</t>
  </si>
  <si>
    <t>Final challenge part 2</t>
  </si>
  <si>
    <t>4:12</t>
  </si>
  <si>
    <t>Outro</t>
  </si>
  <si>
    <t>Essential CSS</t>
  </si>
  <si>
    <t>Welcome to Essential CSS</t>
  </si>
  <si>
    <t>1:23</t>
  </si>
  <si>
    <t>Build an NFT Site</t>
  </si>
  <si>
    <t>2.1 hrs</t>
  </si>
  <si>
    <t>Build a Portfolio</t>
  </si>
  <si>
    <t>63 min</t>
  </si>
  <si>
    <t>Solo Project - Instagram Clone</t>
  </si>
  <si>
    <t>&gt; 33p</t>
  </si>
  <si>
    <t>Build a Coworking Space Site</t>
  </si>
  <si>
    <t>68 min</t>
  </si>
  <si>
    <t>Essential JavaScript</t>
  </si>
  <si>
    <t>Welcome to Essential JavaScript</t>
  </si>
  <si>
    <t>Build a Cookie Consent</t>
  </si>
  <si>
    <t>109 min</t>
  </si>
  <si>
    <t>Build a Meme App</t>
  </si>
  <si>
    <t>2.7 hrs</t>
  </si>
  <si>
    <t>Build an X Clone</t>
  </si>
  <si>
    <t>2.5 hrs</t>
  </si>
  <si>
    <t>Mini Projects</t>
  </si>
  <si>
    <t>Solo Project - Restaurant Ordering app</t>
  </si>
  <si>
    <t>&gt; 4:02</t>
  </si>
  <si>
    <t>Responsive Design</t>
  </si>
  <si>
    <t>Welcome to Responsive Design</t>
  </si>
  <si>
    <t>1:48</t>
  </si>
  <si>
    <t>Responsive Layouts</t>
  </si>
  <si>
    <t>117 min</t>
  </si>
  <si>
    <t>Build a Product Page</t>
  </si>
  <si>
    <t>71 min</t>
  </si>
  <si>
    <t>CSS Grid</t>
  </si>
  <si>
    <t>80 min</t>
  </si>
  <si>
    <t>Solo Project - Learning Journal</t>
  </si>
  <si>
    <t>3:12</t>
  </si>
  <si>
    <t>APIs and Async JavaScript</t>
  </si>
  <si>
    <t>Welcome to APIs and Async JS</t>
  </si>
  <si>
    <t>Intro to APIs</t>
  </si>
  <si>
    <t>59 min</t>
  </si>
  <si>
    <t>URLs and REST</t>
  </si>
  <si>
    <t>1:15</t>
  </si>
  <si>
    <t>Solo Project - Color Scheme Generator</t>
  </si>
  <si>
    <t>3:08</t>
  </si>
  <si>
    <t>Async JavaScript</t>
  </si>
  <si>
    <t>2.4 hrs</t>
  </si>
  <si>
    <t>Solo Project - Movie Watchlist</t>
  </si>
  <si>
    <t>Capstone Project</t>
  </si>
  <si>
    <t>AI Engineering</t>
  </si>
  <si>
    <t>Welcome to AI Engineering</t>
  </si>
  <si>
    <t>1:46</t>
  </si>
  <si>
    <t>AI Engineering Fundamentals (updated)</t>
  </si>
  <si>
    <t>Solo Project - Translation App</t>
  </si>
  <si>
    <t>3:03</t>
  </si>
  <si>
    <t>RAG and Vector Databases</t>
  </si>
  <si>
    <t>90 min</t>
  </si>
  <si>
    <t>Solo Project - Movie AI App</t>
  </si>
  <si>
    <t>4:32</t>
  </si>
  <si>
    <t>AI Agents</t>
  </si>
  <si>
    <t>Node.js</t>
  </si>
  <si>
    <t>Welcome to Node</t>
  </si>
  <si>
    <t>4:10</t>
  </si>
  <si>
    <t>Build a Node API</t>
  </si>
  <si>
    <t>78 min</t>
  </si>
  <si>
    <t>Build a Fullstack Node App</t>
  </si>
  <si>
    <t>2.3 hrs</t>
  </si>
  <si>
    <t>Solo Project - GoldDigger</t>
  </si>
  <si>
    <t>3:57</t>
  </si>
  <si>
    <t>Databases</t>
  </si>
  <si>
    <t>Intro to Databases</t>
  </si>
  <si>
    <t>22 min</t>
  </si>
  <si>
    <t>Writing SQL Queries</t>
  </si>
  <si>
    <t>75 min</t>
  </si>
  <si>
    <t>Creating and Joining Tables</t>
  </si>
  <si>
    <t>76 min</t>
  </si>
  <si>
    <t>Express.js</t>
  </si>
  <si>
    <t>Welcome to Express</t>
  </si>
  <si>
    <t>Build an Express API</t>
  </si>
  <si>
    <t>62 min</t>
  </si>
  <si>
    <t>Build a Fullstack Express App</t>
  </si>
  <si>
    <t>Authentication</t>
  </si>
  <si>
    <t>1:12</t>
  </si>
  <si>
    <t>User Interface Design</t>
  </si>
  <si>
    <t>Welcome to the UI Design Module</t>
  </si>
  <si>
    <t>UI Design Fundamentals</t>
  </si>
  <si>
    <t>69 min</t>
  </si>
  <si>
    <t>Design a Simple Layout</t>
  </si>
  <si>
    <t>Refactor a Metrics Dashboard</t>
  </si>
  <si>
    <t>42 min</t>
  </si>
  <si>
    <t>React.js Fundamentals</t>
  </si>
  <si>
    <t>Welcome to React.js Fundamentals</t>
  </si>
  <si>
    <t>2:37</t>
  </si>
  <si>
    <t>Static Pages</t>
  </si>
  <si>
    <t>2.2 hrs</t>
  </si>
  <si>
    <t>Solo Project - Business Card</t>
  </si>
  <si>
    <t>3:52</t>
  </si>
  <si>
    <t>Data-Driven React</t>
  </si>
  <si>
    <t>React State</t>
  </si>
  <si>
    <t>5.2 hrs</t>
  </si>
  <si>
    <t>Side Effects</t>
  </si>
  <si>
    <t>108 min</t>
  </si>
  <si>
    <t>Capstone Project #1 - Tenzies</t>
  </si>
  <si>
    <t>86 min</t>
  </si>
  <si>
    <t>Capstone Project #2 - Assembly: Endgame</t>
  </si>
  <si>
    <t>118 min</t>
  </si>
  <si>
    <t>Solo Project - Quiz App</t>
  </si>
  <si>
    <t>6:27</t>
  </si>
  <si>
    <t>Module Outro</t>
  </si>
  <si>
    <t>7:14</t>
  </si>
  <si>
    <t>Testing</t>
  </si>
  <si>
    <t>Welcome to the Testing Module</t>
  </si>
  <si>
    <t>3:07</t>
  </si>
  <si>
    <t>What we will test: Meme Generator</t>
  </si>
  <si>
    <t>3:02</t>
  </si>
  <si>
    <t>Set up the tooling</t>
  </si>
  <si>
    <t>Write your first test SAMPLE</t>
  </si>
  <si>
    <t>8:17</t>
  </si>
  <si>
    <t>Practice, practice, and practice!</t>
  </si>
  <si>
    <t>4:54</t>
  </si>
  <si>
    <t>Test user interactions SAMPLE</t>
  </si>
  <si>
    <t>8:04</t>
  </si>
  <si>
    <t>Mock external services: Set up the tooling</t>
  </si>
  <si>
    <t>Mock external services: Test</t>
  </si>
  <si>
    <t>3:32</t>
  </si>
  <si>
    <t>View code coverage</t>
  </si>
  <si>
    <t>Accessibility testing with a side of TDD</t>
  </si>
  <si>
    <t>Types of testing SAMPLE</t>
  </si>
  <si>
    <t>Congratulations!</t>
  </si>
  <si>
    <t>Advanced React.js</t>
  </si>
  <si>
    <t>Welcome to Advanced React</t>
  </si>
  <si>
    <t>0:52</t>
  </si>
  <si>
    <t>Reusability</t>
  </si>
  <si>
    <t>4.9 hrs</t>
  </si>
  <si>
    <t>Performance</t>
  </si>
  <si>
    <t>105 min</t>
  </si>
  <si>
    <t>Solo Project - Component Library++</t>
  </si>
  <si>
    <t>5:59</t>
  </si>
  <si>
    <t>Routing</t>
  </si>
  <si>
    <t>Persistence</t>
  </si>
  <si>
    <t>54 min</t>
  </si>
  <si>
    <t>3.8 hrs</t>
  </si>
  <si>
    <t>TypeScript</t>
  </si>
  <si>
    <t>Welcome to TypeScript</t>
  </si>
  <si>
    <t>0:54</t>
  </si>
  <si>
    <t>TypeScript Fundamentals</t>
  </si>
  <si>
    <t>2 hrs</t>
  </si>
  <si>
    <t>TypeScript in React</t>
  </si>
  <si>
    <t>50 min</t>
  </si>
  <si>
    <t>Solo project - Typed Tenzies</t>
  </si>
  <si>
    <t>1:57</t>
  </si>
  <si>
    <t>TypeScript &amp; Express</t>
  </si>
  <si>
    <t>73 min</t>
  </si>
  <si>
    <t>Next.js</t>
  </si>
  <si>
    <t>Welcome to Next.js</t>
  </si>
  <si>
    <t>Build a Next.js App</t>
  </si>
  <si>
    <t>Rendering Strategies and More</t>
  </si>
  <si>
    <t>Making Data Flow</t>
  </si>
  <si>
    <t>3.9 hrs</t>
  </si>
  <si>
    <t>Scrimba 全栈学习路径进度追踪表</t>
  </si>
  <si>
    <t>说明</t>
  </si>
  <si>
    <t>本表用途</t>
  </si>
  <si>
    <t>追踪 Scrimba 全栈开发者学习路径中所有模块和课程的完成进度</t>
  </si>
  <si>
    <t>数据来源</t>
  </si>
  <si>
    <t>Scrimba 学习平台截图，共 19 个模块、194 门课程/练习/项目</t>
  </si>
  <si>
    <t>使用方法</t>
  </si>
  <si>
    <t>1. 完成状态列</t>
  </si>
  <si>
    <t>填入「完成日期」后，状态列会自动显示「已完成」</t>
  </si>
  <si>
    <t>2. 完成日期列</t>
  </si>
  <si>
    <t>手动输入日期（格式：YYYY-MM-DD），如 2026-09-22</t>
  </si>
  <si>
    <t>3. 状态变色</t>
  </si>
  <si>
    <t>完成状态变为「已完成」后，单元格自动变为绿色背景</t>
  </si>
  <si>
    <t>4. 筛选功能</t>
  </si>
  <si>
    <t>已开启自动筛选，可按模块/类型/状态筛选查看</t>
  </si>
  <si>
    <t>5. 冻结首行</t>
  </si>
  <si>
    <t>滚动时表头始终可见</t>
  </si>
  <si>
    <t>类型说明</t>
  </si>
  <si>
    <t>视频教学内容，学习新知识</t>
  </si>
  <si>
    <t>互动练习，巩固所学内容</t>
  </si>
  <si>
    <t>实战项目，综合运用所学知识</t>
  </si>
  <si>
    <t>颜色说明</t>
  </si>
  <si>
    <t>蓝色标签</t>
  </si>
  <si>
    <t>课程 - 视频教学内容</t>
  </si>
  <si>
    <t>绿色标签</t>
  </si>
  <si>
    <t>练习 - 互动练习</t>
  </si>
  <si>
    <t>橙色标签</t>
  </si>
  <si>
    <t>项目 - 实战项目</t>
  </si>
  <si>
    <t>橙色底色列</t>
  </si>
  <si>
    <t>完成状态 - 自动计算，无需手动填写</t>
  </si>
  <si>
    <t>浅蓝底色列</t>
  </si>
  <si>
    <t>完成日期 - 手动填入日期</t>
  </si>
  <si>
    <t>HTML+CSS</t>
  </si>
  <si>
    <t>Index</t>
  </si>
  <si>
    <t>Module</t>
  </si>
  <si>
    <t>Sub-module</t>
  </si>
  <si>
    <t>Section</t>
  </si>
  <si>
    <t>Length</t>
  </si>
  <si>
    <t>Type</t>
  </si>
  <si>
    <t>Status</t>
  </si>
  <si>
    <t>Closed Date</t>
  </si>
  <si>
    <t>Remarks</t>
  </si>
  <si>
    <t>Course</t>
  </si>
  <si>
    <t>Practice</t>
  </si>
  <si>
    <t>Project</t>
  </si>
  <si>
    <t>版块名称</t>
  </si>
  <si>
    <t>涵盖章节</t>
  </si>
  <si>
    <t>核心知识要点</t>
  </si>
  <si>
    <t>版块一：终端基建与文件系统探险</t>
  </si>
  <si>
    <t>第 1～10 章</t>
  </si>
  <si>
    <t>版块二：环境定制与高效文本流处理</t>
  </si>
  <si>
    <t>版块三：高级搜索、归档备份与网络工具</t>
  </si>
  <si>
    <t>第 14～18 章&lt;br&gt;第 22～23 章</t>
  </si>
  <si>
    <t>版块四：Shell 脚本编程与自动化实战</t>
  </si>
  <si>
    <t>第 24～36 章</t>
  </si>
  <si>
    <t>第 11～13 章&lt;br&gt;
第 19～21 章</t>
  </si>
  <si>
    <r>
      <t>Shell 基础概念、文件系统导航与基本增删改查、命令帮助体系（</t>
    </r>
    <r>
      <rPr>
        <sz val="10"/>
        <color rgb="FF303030"/>
        <rFont val="Microsoft YaHei UI"/>
        <family val="2"/>
        <charset val="134"/>
      </rPr>
      <t>man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type</t>
    </r>
    <r>
      <rPr>
        <sz val="10"/>
        <color rgb="FF303030"/>
        <rFont val="Microsoft YaHei UI"/>
        <family val="2"/>
        <charset val="134"/>
      </rPr>
      <t>）、重定向与管道（</t>
    </r>
    <r>
      <rPr>
        <sz val="10"/>
        <color rgb="FF303030"/>
        <rFont val="Microsoft YaHei UI"/>
        <family val="2"/>
        <charset val="134"/>
      </rPr>
      <t>&gt;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&lt;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|</t>
    </r>
    <r>
      <rPr>
        <sz val="10"/>
        <color rgb="FF303030"/>
        <rFont val="Microsoft YaHei UI"/>
        <family val="2"/>
        <charset val="134"/>
      </rPr>
      <t>）、Shell 扩展与引用、进程与权限管理。</t>
    </r>
  </si>
  <si>
    <r>
      <t>Shell 配置文件（</t>
    </r>
    <r>
      <rPr>
        <sz val="10"/>
        <color rgb="FF303030"/>
        <rFont val="Microsoft YaHei UI"/>
        <family val="2"/>
        <charset val="134"/>
      </rPr>
      <t>~/.zshrc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~/.bashrc</t>
    </r>
    <r>
      <rPr>
        <sz val="10"/>
        <color rgb="FF303030"/>
        <rFont val="Microsoft YaHei UI"/>
        <family val="2"/>
        <charset val="134"/>
      </rPr>
      <t>）、Vim 编辑器基础、正则表达式、流式文本过滤与分析工具（</t>
    </r>
    <r>
      <rPr>
        <sz val="10"/>
        <color rgb="FF303030"/>
        <rFont val="Microsoft YaHei UI"/>
        <family val="2"/>
        <charset val="134"/>
      </rPr>
      <t>grep</t>
    </r>
    <r>
      <rPr>
        <sz val="10"/>
        <color rgb="FF303030"/>
        <rFont val="Microsoft YaHei UI"/>
        <family val="2"/>
        <charset val="134"/>
      </rPr>
      <t xml:space="preserve">, </t>
    </r>
    <r>
      <rPr>
        <sz val="10"/>
        <color rgb="FF303030"/>
        <rFont val="Microsoft YaHei UI"/>
        <family val="2"/>
        <charset val="134"/>
      </rPr>
      <t>sed</t>
    </r>
    <r>
      <rPr>
        <sz val="10"/>
        <color rgb="FF303030"/>
        <rFont val="Microsoft YaHei UI"/>
        <family val="2"/>
        <charset val="134"/>
      </rPr>
      <t xml:space="preserve">, </t>
    </r>
    <r>
      <rPr>
        <sz val="10"/>
        <color rgb="FF303030"/>
        <rFont val="Microsoft YaHei UI"/>
        <family val="2"/>
        <charset val="134"/>
      </rPr>
      <t>sort</t>
    </r>
    <r>
      <rPr>
        <sz val="10"/>
        <color rgb="FF303030"/>
        <rFont val="Microsoft YaHei UI"/>
        <family val="2"/>
        <charset val="134"/>
      </rPr>
      <t xml:space="preserve">, </t>
    </r>
    <r>
      <rPr>
        <sz val="10"/>
        <color rgb="FF303030"/>
        <rFont val="Microsoft YaHei UI"/>
        <family val="2"/>
        <charset val="134"/>
      </rPr>
      <t>uniq</t>
    </r>
    <r>
      <rPr>
        <sz val="10"/>
        <color rgb="FF303030"/>
        <rFont val="Microsoft YaHei UI"/>
        <family val="2"/>
        <charset val="134"/>
      </rPr>
      <t xml:space="preserve">, </t>
    </r>
    <r>
      <rPr>
        <sz val="10"/>
        <color rgb="FF303030"/>
        <rFont val="Microsoft YaHei UI"/>
        <family val="2"/>
        <charset val="134"/>
      </rPr>
      <t>cut</t>
    </r>
    <r>
      <rPr>
        <sz val="10"/>
        <color rgb="FF303030"/>
        <rFont val="Microsoft YaHei UI"/>
        <family val="2"/>
        <charset val="134"/>
      </rPr>
      <t xml:space="preserve">, </t>
    </r>
    <r>
      <rPr>
        <sz val="10"/>
        <color rgb="FF303030"/>
        <rFont val="Microsoft YaHei UI"/>
        <family val="2"/>
        <charset val="134"/>
      </rPr>
      <t>printf</t>
    </r>
    <r>
      <rPr>
        <sz val="10"/>
        <color rgb="FF303030"/>
        <rFont val="Microsoft YaHei UI"/>
        <family val="2"/>
        <charset val="134"/>
      </rPr>
      <t>）。</t>
    </r>
  </si>
  <si>
    <r>
      <t>软件包管理（Mac 对应 Homebrew）、深度文件查找（</t>
    </r>
    <r>
      <rPr>
        <sz val="10"/>
        <color rgb="FF303030"/>
        <rFont val="Microsoft YaHei UI"/>
        <family val="2"/>
        <charset val="134"/>
      </rPr>
      <t>find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locate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xargs</t>
    </r>
    <r>
      <rPr>
        <sz val="10"/>
        <color rgb="FF303030"/>
        <rFont val="Microsoft YaHei UI"/>
        <family val="2"/>
        <charset val="134"/>
      </rPr>
      <t>）、归档压缩与同步（</t>
    </r>
    <r>
      <rPr>
        <sz val="10"/>
        <color rgb="FF303030"/>
        <rFont val="Microsoft YaHei UI"/>
        <family val="2"/>
        <charset val="134"/>
      </rPr>
      <t>tar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gzip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rsync</t>
    </r>
    <r>
      <rPr>
        <sz val="10"/>
        <color rgb="FF303030"/>
        <rFont val="Microsoft YaHei UI"/>
        <family val="2"/>
        <charset val="134"/>
      </rPr>
      <t>）、网络与远程通信（</t>
    </r>
    <r>
      <rPr>
        <sz val="10"/>
        <color rgb="FF303030"/>
        <rFont val="Microsoft YaHei UI"/>
        <family val="2"/>
        <charset val="134"/>
      </rPr>
      <t>ssh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scp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wget</t>
    </r>
    <r>
      <rPr>
        <sz val="10"/>
        <color rgb="FF303030"/>
        <rFont val="Microsoft YaHei UI"/>
        <family val="2"/>
        <charset val="134"/>
      </rPr>
      <t>）。</t>
    </r>
  </si>
  <si>
    <r>
      <t>脚本基础规范与 Shebang、变量与 Here Document、模块化函数、流程控制（</t>
    </r>
    <r>
      <rPr>
        <sz val="10"/>
        <color rgb="FF303030"/>
        <rFont val="Microsoft YaHei UI"/>
        <family val="2"/>
        <charset val="134"/>
      </rPr>
      <t>if</t>
    </r>
    <r>
      <rPr>
        <sz val="10"/>
        <color rgb="FF303030"/>
        <rFont val="Microsoft YaHei UI"/>
        <family val="2"/>
        <charset val="134"/>
      </rPr>
      <t>/</t>
    </r>
    <r>
      <rPr>
        <sz val="10"/>
        <color rgb="FF303030"/>
        <rFont val="Microsoft YaHei UI"/>
        <family val="2"/>
        <charset val="134"/>
      </rPr>
      <t>test</t>
    </r>
    <r>
      <rPr>
        <sz val="10"/>
        <color rgb="FF303030"/>
        <rFont val="Microsoft YaHei UI"/>
        <family val="2"/>
        <charset val="134"/>
      </rPr>
      <t>、</t>
    </r>
    <r>
      <rPr>
        <sz val="10"/>
        <color rgb="FF303030"/>
        <rFont val="Microsoft YaHei UI"/>
        <family val="2"/>
        <charset val="134"/>
      </rPr>
      <t>while</t>
    </r>
    <r>
      <rPr>
        <sz val="10"/>
        <color rgb="FF303030"/>
        <rFont val="Microsoft YaHei UI"/>
        <family val="2"/>
        <charset val="134"/>
      </rPr>
      <t>、</t>
    </r>
    <r>
      <rPr>
        <sz val="10"/>
        <color rgb="FF303030"/>
        <rFont val="Microsoft YaHei UI"/>
        <family val="2"/>
        <charset val="134"/>
      </rPr>
      <t>case</t>
    </r>
    <r>
      <rPr>
        <sz val="10"/>
        <color rgb="FF303030"/>
        <rFont val="Microsoft YaHei UI"/>
        <family val="2"/>
        <charset val="134"/>
      </rPr>
      <t>、</t>
    </r>
    <r>
      <rPr>
        <sz val="10"/>
        <color rgb="FF303030"/>
        <rFont val="Microsoft YaHei UI"/>
        <family val="2"/>
        <charset val="134"/>
      </rPr>
      <t>for</t>
    </r>
    <r>
      <rPr>
        <sz val="10"/>
        <color rgb="FF303030"/>
        <rFont val="Microsoft YaHei UI"/>
        <family val="2"/>
        <charset val="134"/>
      </rPr>
      <t>）、位置参数解析、数组与调试。</t>
    </r>
  </si>
  <si>
    <t>命令行使用学习路径</t>
  </si>
  <si>
    <t>Git命令实操每日练习</t>
  </si>
  <si>
    <t>Progress</t>
  </si>
  <si>
    <t>Netlify, nice hosting opt</t>
  </si>
  <si>
    <t>Super!! Sub-reddits</t>
  </si>
  <si>
    <t>外</t>
  </si>
  <si>
    <t>build-in-public</t>
  </si>
  <si>
    <t>To set up a build-in-public page</t>
  </si>
  <si>
    <t>9-28 到</t>
  </si>
  <si>
    <t>号外，手写代码</t>
  </si>
  <si>
    <t>MDN Core Modules</t>
  </si>
  <si>
    <t>Getting started Modules</t>
  </si>
  <si>
    <t>Module List</t>
  </si>
  <si>
    <t>HTML Modules</t>
  </si>
  <si>
    <t>CSS for styling</t>
  </si>
  <si>
    <t>进行中，家乡推介</t>
  </si>
  <si>
    <t xml:space="preserve">Environment setup </t>
  </si>
  <si>
    <t>sub-topic</t>
  </si>
  <si>
    <t>Core Modules</t>
  </si>
  <si>
    <t>Date</t>
  </si>
  <si>
    <t>Browsing the web</t>
  </si>
  <si>
    <t>Scrimba Docs</t>
  </si>
  <si>
    <t>内容</t>
  </si>
  <si>
    <t>日期</t>
  </si>
  <si>
    <t>Git remote</t>
  </si>
  <si>
    <t>2026年10月06日</t>
  </si>
  <si>
    <t>下一步</t>
  </si>
  <si>
    <t>测试题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</si>
</sst>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20">
    <font>
      <sz val="11"/>
      <color theme="1"/>
      <name val="Calibri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4"/>
      <color rgb="FF2F5496"/>
      <name val="微软雅黑"/>
      <family val="2"/>
      <charset val="134"/>
    </font>
    <font>
      <b/>
      <sz val="11"/>
      <name val="微软雅黑"/>
      <family val="2"/>
      <charset val="134"/>
    </font>
    <font>
      <sz val="11"/>
      <color rgb="FF303030"/>
      <name val="Microsoft YaHei UI"/>
      <family val="2"/>
      <charset val="134"/>
    </font>
    <font>
      <sz val="10"/>
      <color rgb="FF303030"/>
      <name val="Microsoft YaHei UI"/>
      <family val="2"/>
      <charset val="134"/>
    </font>
    <font>
      <sz val="11"/>
      <color rgb="FF303030"/>
      <name val="Microsoft YaHei UI"/>
      <family val="2"/>
      <charset val="134"/>
    </font>
    <font>
      <sz val="10"/>
      <color rgb="FF303030"/>
      <name val="Microsoft YaHei UI"/>
      <family val="2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Yahei"/>
    </font>
    <font>
      <sz val="14"/>
      <color theme="1"/>
      <name val="Yahei"/>
    </font>
    <font>
      <sz val="14"/>
      <color theme="1"/>
      <name val="Calibri"/>
      <family val="2"/>
      <scheme val="minor"/>
    </font>
    <font>
      <sz val="16"/>
      <color theme="1"/>
      <name val="Yahei"/>
    </font>
    <font>
      <sz val="16"/>
      <color theme="1"/>
      <name val="Calibri"/>
      <family val="2"/>
      <scheme val="minor"/>
    </font>
    <font>
      <u/>
      <sz val="14"/>
      <color theme="10"/>
      <name val="Yahei"/>
    </font>
    <font>
      <u/>
      <sz val="14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F2F7FB"/>
        <bgColor rgb="FFF2F7FB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1"/>
        <bgColor rgb="FF2F5496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164" fontId="2" fillId="6" borderId="1" xfId="0" applyNumberFormat="1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1" fillId="10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" fillId="10" borderId="2" xfId="0" applyFont="1" applyFill="1" applyBorder="1" applyAlignment="1">
      <alignment horizontal="center" vertical="center" wrapText="1"/>
    </xf>
    <xf numFmtId="165" fontId="0" fillId="0" borderId="0" xfId="1" applyNumberFormat="1" applyFont="1"/>
    <xf numFmtId="10" fontId="0" fillId="0" borderId="0" xfId="1" applyNumberFormat="1" applyFont="1"/>
    <xf numFmtId="0" fontId="1" fillId="10" borderId="3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7" fillId="0" borderId="0" xfId="2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0" xfId="2" applyFont="1" applyAlignment="1">
      <alignment horizontal="center"/>
    </xf>
    <xf numFmtId="0" fontId="12" fillId="0" borderId="0" xfId="0" applyFont="1" applyAlignment="1">
      <alignment horizontal="center"/>
    </xf>
    <xf numFmtId="164" fontId="2" fillId="6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11" fillId="0" borderId="0" xfId="2" applyAlignment="1">
      <alignment horizont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Percent" xfId="1" builtinId="5"/>
  </cellStyles>
  <dxfs count="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 Frank" id="{46818ABC-E3D4-9746-B9F4-E2842DECFE29}" userId="fbb996fee7239c9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" dT="2026-10-02T14:53:42.82" personId="{46818ABC-E3D4-9746-B9F4-E2842DECFE29}" id="{1F17599A-7801-DD42-9181-9FD3B35CA247}">
    <text xml:space="preserve">ERSHENG:
2026-10-02，下载了firefox浏览器，以满足网页测试中的相关要求（多rendiner engine测试
</text>
  </threadedComment>
  <threadedComment ref="O3" dT="2026-10-02T14:56:51.97" personId="{46818ABC-E3D4-9746-B9F4-E2842DECFE29}" id="{C5456653-DD64-7C42-A09E-F747CA2ED549}" parentId="{1F17599A-7801-DD42-9181-9FD3B35CA247}">
    <text xml:space="preserve">如何弄一个本地测试服务器？当前在VSC中已经安装了一个插件，但不够灵活，后续可能要尝试新的选项；
</text>
  </threadedComment>
  <threadedComment ref="O3" dT="2026-10-02T14:58:37.47" personId="{46818ABC-E3D4-9746-B9F4-E2842DECFE29}" id="{017E7752-6CC3-964F-999F-6B6762A30A91}" parentId="{1F17599A-7801-DD42-9181-9FD3B35CA247}">
    <text xml:space="preserve">尝试tinyPNG 以用于压缩图片等 操作，替代方案是苹果设备中的 preview /预览。 稍微复杂一些的选项包括 photopea  这类线上工具。 </text>
  </threadedComment>
  <threadedComment ref="O3" dT="2026-10-02T15:13:42.36" personId="{46818ABC-E3D4-9746-B9F4-E2842DECFE29}" id="{E345D5BF-FD2B-9044-9983-C822F954991B}" parentId="{1F17599A-7801-DD42-9181-9FD3B35CA247}">
    <text xml:space="preserve">网页部署： 1. Github Pages,在用的；Netlify，已经与github联通
 2. codepen, JSFiddle 做简单的demo;  3. </text>
  </threadedComment>
</ThreadedComments>
</file>

<file path=xl/worksheets/_rels/sheet2.xml.rels><?xml version="1.0" encoding="UTF-8" standalone="yes"?>
<Relationships xmlns="http://schemas.openxmlformats.org/package/2006/relationships"><Relationship Id="rId8" Type="http://schemas.microsoft.com/office/2017/10/relationships/threadedComment" Target="../threadedComments/threadedComment1.xml"/><Relationship Id="rId3" Type="http://schemas.openxmlformats.org/officeDocument/2006/relationships/hyperlink" Target="https://developer.mozilla.org/en-US/docs/Learn_web_development/Core/Structuring_content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developer.mozilla.org/en-US/docs/Learn_web_development/Core" TargetMode="External"/><Relationship Id="rId1" Type="http://schemas.openxmlformats.org/officeDocument/2006/relationships/hyperlink" Target="https://developer.mozilla.org/en-US/docs/Learn_web_development/Getting_started" TargetMode="External"/><Relationship Id="rId6" Type="http://schemas.openxmlformats.org/officeDocument/2006/relationships/vmlDrawing" Target="../drawings/vmlDrawing1.vml"/><Relationship Id="rId5" Type="http://schemas.openxmlformats.org/officeDocument/2006/relationships/hyperlink" Target="https://docs.scrimba.com/" TargetMode="External"/><Relationship Id="rId4" Type="http://schemas.openxmlformats.org/officeDocument/2006/relationships/hyperlink" Target="https://developer.mozilla.org/en-US/docs/Learn_web_development/Core/Styling_bas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5"/>
  <sheetViews>
    <sheetView tabSelected="1" workbookViewId="0">
      <pane ySplit="1" topLeftCell="A78" activePane="bottomLeft" state="frozen"/>
      <selection pane="bottomLeft" activeCell="N90" sqref="N90"/>
    </sheetView>
  </sheetViews>
  <sheetFormatPr baseColWidth="10" defaultColWidth="8.83203125" defaultRowHeight="20" customHeight="1"/>
  <cols>
    <col min="1" max="1" width="6" customWidth="1"/>
    <col min="2" max="2" width="22" customWidth="1"/>
    <col min="3" max="3" width="28" customWidth="1"/>
    <col min="4" max="4" width="40" customWidth="1"/>
    <col min="5" max="5" width="12" customWidth="1"/>
    <col min="6" max="6" width="8" customWidth="1"/>
    <col min="7" max="7" width="10" customWidth="1"/>
    <col min="8" max="8" width="14" customWidth="1"/>
    <col min="9" max="9" width="20" customWidth="1"/>
    <col min="11" max="11" width="12.5" customWidth="1"/>
    <col min="12" max="12" width="11" customWidth="1"/>
  </cols>
  <sheetData>
    <row r="1" spans="1:12" ht="20" customHeight="1">
      <c r="A1" s="13" t="s">
        <v>411</v>
      </c>
      <c r="B1" s="13" t="s">
        <v>412</v>
      </c>
      <c r="C1" s="13" t="s">
        <v>413</v>
      </c>
      <c r="D1" s="13" t="s">
        <v>414</v>
      </c>
      <c r="E1" s="13" t="s">
        <v>415</v>
      </c>
      <c r="F1" s="13" t="s">
        <v>416</v>
      </c>
      <c r="G1" s="13" t="s">
        <v>417</v>
      </c>
      <c r="H1" s="13" t="s">
        <v>418</v>
      </c>
      <c r="I1" s="13" t="s">
        <v>419</v>
      </c>
      <c r="J1" s="20" t="s">
        <v>440</v>
      </c>
      <c r="K1" s="22"/>
      <c r="L1" s="23"/>
    </row>
    <row r="2" spans="1:12" ht="20" customHeight="1">
      <c r="A2" s="1"/>
      <c r="B2" s="38" t="s">
        <v>0</v>
      </c>
      <c r="C2" s="38"/>
      <c r="D2" s="1"/>
      <c r="E2" s="1"/>
      <c r="F2" s="1"/>
      <c r="G2" s="1"/>
      <c r="H2" s="1"/>
      <c r="I2" s="1"/>
    </row>
    <row r="3" spans="1:12" ht="20" customHeight="1">
      <c r="A3" s="2">
        <v>1</v>
      </c>
      <c r="B3" s="3" t="s">
        <v>0</v>
      </c>
      <c r="C3" s="3" t="s">
        <v>1</v>
      </c>
      <c r="D3" s="3" t="s">
        <v>2</v>
      </c>
      <c r="E3" s="2" t="s">
        <v>3</v>
      </c>
      <c r="F3" s="4" t="s">
        <v>420</v>
      </c>
      <c r="G3" s="5" t="str">
        <f>IF(H3&lt;&gt;"","Done","Pending")</f>
        <v>Done</v>
      </c>
      <c r="H3" s="6">
        <v>46287</v>
      </c>
      <c r="I3" s="3"/>
    </row>
    <row r="4" spans="1:12" ht="20" customHeight="1">
      <c r="A4" s="7">
        <v>2</v>
      </c>
      <c r="B4" s="8" t="s">
        <v>0</v>
      </c>
      <c r="C4" s="8" t="s">
        <v>5</v>
      </c>
      <c r="D4" s="8" t="s">
        <v>6</v>
      </c>
      <c r="E4" s="7" t="s">
        <v>7</v>
      </c>
      <c r="F4" s="9" t="s">
        <v>421</v>
      </c>
      <c r="G4" s="5" t="str">
        <f t="shared" ref="G4:G11" si="0">IF(H4&lt;&gt;"","Done","Pending")</f>
        <v>Done</v>
      </c>
      <c r="H4" s="6">
        <v>46287</v>
      </c>
      <c r="I4" s="8"/>
    </row>
    <row r="5" spans="1:12" ht="20" customHeight="1">
      <c r="A5" s="2">
        <v>3</v>
      </c>
      <c r="B5" s="3" t="s">
        <v>0</v>
      </c>
      <c r="C5" s="3" t="s">
        <v>5</v>
      </c>
      <c r="D5" s="3" t="s">
        <v>9</v>
      </c>
      <c r="E5" s="2" t="s">
        <v>10</v>
      </c>
      <c r="F5" s="4" t="s">
        <v>420</v>
      </c>
      <c r="G5" s="5" t="str">
        <f t="shared" si="0"/>
        <v>Done</v>
      </c>
      <c r="H5" s="6">
        <v>46287</v>
      </c>
      <c r="I5" s="3"/>
    </row>
    <row r="6" spans="1:12" ht="20" customHeight="1">
      <c r="A6" s="7">
        <v>4</v>
      </c>
      <c r="B6" s="8" t="s">
        <v>0</v>
      </c>
      <c r="C6" s="8" t="s">
        <v>11</v>
      </c>
      <c r="D6" s="8" t="s">
        <v>12</v>
      </c>
      <c r="E6" s="7" t="s">
        <v>13</v>
      </c>
      <c r="F6" s="10" t="s">
        <v>422</v>
      </c>
      <c r="G6" s="5" t="str">
        <f t="shared" si="0"/>
        <v>Done</v>
      </c>
      <c r="H6" s="6">
        <v>46287</v>
      </c>
      <c r="I6" s="8"/>
    </row>
    <row r="7" spans="1:12" ht="20" customHeight="1">
      <c r="A7" s="2">
        <v>5</v>
      </c>
      <c r="B7" s="3" t="s">
        <v>0</v>
      </c>
      <c r="C7" s="3" t="s">
        <v>11</v>
      </c>
      <c r="D7" s="3" t="s">
        <v>15</v>
      </c>
      <c r="E7" s="2" t="s">
        <v>16</v>
      </c>
      <c r="F7" s="10" t="s">
        <v>422</v>
      </c>
      <c r="G7" s="5" t="str">
        <f t="shared" si="0"/>
        <v>Done</v>
      </c>
      <c r="H7" s="6">
        <v>46287</v>
      </c>
      <c r="I7" s="3"/>
    </row>
    <row r="8" spans="1:12" ht="20" customHeight="1">
      <c r="A8" s="7">
        <v>6</v>
      </c>
      <c r="B8" s="8" t="s">
        <v>0</v>
      </c>
      <c r="C8" s="8" t="s">
        <v>11</v>
      </c>
      <c r="D8" s="8" t="s">
        <v>17</v>
      </c>
      <c r="E8" s="7" t="s">
        <v>18</v>
      </c>
      <c r="F8" s="10" t="s">
        <v>422</v>
      </c>
      <c r="G8" s="5" t="str">
        <f t="shared" si="0"/>
        <v>Done</v>
      </c>
      <c r="H8" s="6">
        <v>46287</v>
      </c>
      <c r="I8" s="8"/>
    </row>
    <row r="9" spans="1:12" ht="20" customHeight="1">
      <c r="A9" s="2">
        <v>7</v>
      </c>
      <c r="B9" s="3" t="s">
        <v>0</v>
      </c>
      <c r="C9" s="3" t="s">
        <v>11</v>
      </c>
      <c r="D9" s="3" t="s">
        <v>19</v>
      </c>
      <c r="E9" s="2" t="s">
        <v>20</v>
      </c>
      <c r="F9" s="10" t="s">
        <v>422</v>
      </c>
      <c r="G9" s="5" t="str">
        <f t="shared" si="0"/>
        <v>Done</v>
      </c>
      <c r="H9" s="6">
        <v>46287</v>
      </c>
      <c r="I9" s="3"/>
    </row>
    <row r="10" spans="1:12" ht="20" customHeight="1">
      <c r="A10" s="7">
        <v>8</v>
      </c>
      <c r="B10" s="8" t="s">
        <v>0</v>
      </c>
      <c r="C10" s="8" t="s">
        <v>11</v>
      </c>
      <c r="D10" s="8" t="s">
        <v>21</v>
      </c>
      <c r="E10" s="7" t="s">
        <v>22</v>
      </c>
      <c r="F10" s="10" t="s">
        <v>422</v>
      </c>
      <c r="G10" s="5" t="str">
        <f t="shared" si="0"/>
        <v>Done</v>
      </c>
      <c r="H10" s="6">
        <v>46287</v>
      </c>
      <c r="I10" s="8"/>
    </row>
    <row r="11" spans="1:12" ht="20" customHeight="1">
      <c r="A11" s="2">
        <v>9</v>
      </c>
      <c r="B11" s="3" t="s">
        <v>0</v>
      </c>
      <c r="C11" s="3" t="s">
        <v>11</v>
      </c>
      <c r="D11" s="3" t="s">
        <v>23</v>
      </c>
      <c r="E11" s="2" t="s">
        <v>24</v>
      </c>
      <c r="F11" s="10" t="s">
        <v>422</v>
      </c>
      <c r="G11" s="5" t="str">
        <f t="shared" si="0"/>
        <v>Done</v>
      </c>
      <c r="H11" s="6">
        <v>46287</v>
      </c>
      <c r="I11" s="3"/>
    </row>
    <row r="12" spans="1:12" ht="20" customHeight="1">
      <c r="A12" s="1"/>
      <c r="B12" s="38" t="s">
        <v>410</v>
      </c>
      <c r="C12" s="38"/>
      <c r="D12" s="1"/>
      <c r="E12" s="1"/>
      <c r="F12" s="1"/>
      <c r="G12" s="1"/>
      <c r="H12" s="1"/>
      <c r="I12" s="1"/>
    </row>
    <row r="13" spans="1:12" ht="20" customHeight="1">
      <c r="A13" s="2">
        <v>10</v>
      </c>
      <c r="B13" s="3" t="s">
        <v>410</v>
      </c>
      <c r="C13" s="3" t="s">
        <v>1</v>
      </c>
      <c r="D13" s="3" t="s">
        <v>25</v>
      </c>
      <c r="E13" s="2" t="s">
        <v>26</v>
      </c>
      <c r="F13" s="4" t="s">
        <v>420</v>
      </c>
      <c r="G13" s="5" t="str">
        <f t="shared" ref="G13:G76" si="1">IF(H13&lt;&gt;"","Done","Pending")</f>
        <v>Done</v>
      </c>
      <c r="H13" s="6">
        <v>46287</v>
      </c>
      <c r="I13" s="3"/>
    </row>
    <row r="14" spans="1:12" ht="20" customHeight="1">
      <c r="A14" s="2">
        <v>11</v>
      </c>
      <c r="B14" s="3" t="s">
        <v>410</v>
      </c>
      <c r="C14" s="3" t="s">
        <v>27</v>
      </c>
      <c r="D14" s="3" t="s">
        <v>28</v>
      </c>
      <c r="E14" s="2" t="s">
        <v>29</v>
      </c>
      <c r="F14" s="4" t="s">
        <v>420</v>
      </c>
      <c r="G14" s="5" t="str">
        <f t="shared" si="1"/>
        <v>Done</v>
      </c>
      <c r="H14" s="6">
        <v>46287</v>
      </c>
      <c r="I14" s="3"/>
    </row>
    <row r="15" spans="1:12" ht="20" customHeight="1">
      <c r="A15" s="7">
        <v>12</v>
      </c>
      <c r="B15" s="8" t="s">
        <v>410</v>
      </c>
      <c r="C15" s="8" t="s">
        <v>27</v>
      </c>
      <c r="D15" s="8" t="s">
        <v>30</v>
      </c>
      <c r="E15" s="7" t="s">
        <v>31</v>
      </c>
      <c r="F15" s="9" t="s">
        <v>421</v>
      </c>
      <c r="G15" s="5" t="str">
        <f t="shared" si="1"/>
        <v>Done</v>
      </c>
      <c r="H15" s="6">
        <v>46287</v>
      </c>
      <c r="I15" s="8"/>
    </row>
    <row r="16" spans="1:12" ht="20" customHeight="1">
      <c r="A16" s="2">
        <v>13</v>
      </c>
      <c r="B16" s="3" t="s">
        <v>410</v>
      </c>
      <c r="C16" s="3" t="s">
        <v>27</v>
      </c>
      <c r="D16" s="3" t="s">
        <v>32</v>
      </c>
      <c r="E16" s="2" t="s">
        <v>20</v>
      </c>
      <c r="F16" s="4" t="s">
        <v>420</v>
      </c>
      <c r="G16" s="5" t="str">
        <f t="shared" si="1"/>
        <v>Done</v>
      </c>
      <c r="H16" s="6">
        <v>46287</v>
      </c>
      <c r="I16" s="3"/>
    </row>
    <row r="17" spans="1:11" ht="20" customHeight="1">
      <c r="A17" s="7">
        <v>14</v>
      </c>
      <c r="B17" s="8" t="s">
        <v>410</v>
      </c>
      <c r="C17" s="8" t="s">
        <v>27</v>
      </c>
      <c r="D17" s="8" t="s">
        <v>33</v>
      </c>
      <c r="E17" s="7" t="s">
        <v>34</v>
      </c>
      <c r="F17" s="4" t="s">
        <v>420</v>
      </c>
      <c r="G17" s="5" t="str">
        <f t="shared" si="1"/>
        <v>Done</v>
      </c>
      <c r="H17" s="6">
        <v>46287</v>
      </c>
      <c r="I17" s="8"/>
    </row>
    <row r="18" spans="1:11" ht="20" customHeight="1">
      <c r="A18" s="2">
        <v>15</v>
      </c>
      <c r="B18" s="3" t="s">
        <v>410</v>
      </c>
      <c r="C18" s="3" t="s">
        <v>27</v>
      </c>
      <c r="D18" s="3" t="s">
        <v>35</v>
      </c>
      <c r="E18" s="2" t="s">
        <v>36</v>
      </c>
      <c r="F18" s="4" t="s">
        <v>420</v>
      </c>
      <c r="G18" s="5" t="str">
        <f t="shared" si="1"/>
        <v>Done</v>
      </c>
      <c r="H18" s="6">
        <v>46287</v>
      </c>
      <c r="I18" s="3"/>
    </row>
    <row r="19" spans="1:11" ht="20" customHeight="1">
      <c r="A19" s="7">
        <v>16</v>
      </c>
      <c r="B19" s="8" t="s">
        <v>410</v>
      </c>
      <c r="C19" s="8" t="s">
        <v>27</v>
      </c>
      <c r="D19" s="8" t="s">
        <v>37</v>
      </c>
      <c r="E19" s="7" t="s">
        <v>38</v>
      </c>
      <c r="F19" s="9" t="s">
        <v>421</v>
      </c>
      <c r="G19" s="5" t="str">
        <f t="shared" si="1"/>
        <v>Done</v>
      </c>
      <c r="H19" s="6">
        <v>46287</v>
      </c>
      <c r="I19" s="8"/>
    </row>
    <row r="20" spans="1:11" ht="20" customHeight="1">
      <c r="A20" s="2">
        <v>17</v>
      </c>
      <c r="B20" s="3" t="s">
        <v>410</v>
      </c>
      <c r="C20" s="3" t="s">
        <v>27</v>
      </c>
      <c r="D20" s="3" t="s">
        <v>39</v>
      </c>
      <c r="E20" s="2" t="s">
        <v>40</v>
      </c>
      <c r="F20" s="4" t="s">
        <v>420</v>
      </c>
      <c r="G20" s="5" t="str">
        <f t="shared" si="1"/>
        <v>Done</v>
      </c>
      <c r="H20" s="6">
        <v>46287</v>
      </c>
      <c r="I20" s="3"/>
    </row>
    <row r="21" spans="1:11" ht="20" customHeight="1">
      <c r="A21" s="7">
        <v>18</v>
      </c>
      <c r="B21" s="8" t="s">
        <v>410</v>
      </c>
      <c r="C21" s="8" t="s">
        <v>27</v>
      </c>
      <c r="D21" s="8" t="s">
        <v>41</v>
      </c>
      <c r="E21" s="7" t="s">
        <v>42</v>
      </c>
      <c r="F21" s="4" t="s">
        <v>420</v>
      </c>
      <c r="G21" s="5" t="str">
        <f t="shared" si="1"/>
        <v>Done</v>
      </c>
      <c r="H21" s="6">
        <v>46287</v>
      </c>
      <c r="I21" s="8"/>
    </row>
    <row r="22" spans="1:11" ht="20" customHeight="1">
      <c r="A22" s="2">
        <v>19</v>
      </c>
      <c r="B22" s="3" t="s">
        <v>410</v>
      </c>
      <c r="C22" s="3" t="s">
        <v>27</v>
      </c>
      <c r="D22" s="3" t="s">
        <v>43</v>
      </c>
      <c r="E22" s="2" t="s">
        <v>44</v>
      </c>
      <c r="F22" s="9" t="s">
        <v>421</v>
      </c>
      <c r="G22" s="5" t="str">
        <f t="shared" si="1"/>
        <v>Done</v>
      </c>
      <c r="H22" s="6">
        <v>46287</v>
      </c>
      <c r="J22" s="21">
        <f t="shared" ref="J22:J25" si="2">IF(G22="Pending","",K22/195)</f>
        <v>9.7435897435897437E-2</v>
      </c>
      <c r="K22" s="24">
        <f>COUNTIF($G$3:G22,"Done")</f>
        <v>19</v>
      </c>
    </row>
    <row r="23" spans="1:11" ht="20" customHeight="1">
      <c r="A23" s="7">
        <v>20</v>
      </c>
      <c r="B23" s="8" t="s">
        <v>410</v>
      </c>
      <c r="C23" s="8" t="s">
        <v>27</v>
      </c>
      <c r="D23" s="8" t="s">
        <v>45</v>
      </c>
      <c r="E23" s="7" t="s">
        <v>46</v>
      </c>
      <c r="F23" s="4" t="s">
        <v>420</v>
      </c>
      <c r="G23" s="5" t="str">
        <f t="shared" si="1"/>
        <v>Done</v>
      </c>
      <c r="H23" s="6">
        <v>46287</v>
      </c>
      <c r="I23" s="8"/>
      <c r="J23" s="21">
        <f t="shared" si="2"/>
        <v>0.10256410256410256</v>
      </c>
      <c r="K23" s="24">
        <f>COUNTIF($G$3:G23,"Done")</f>
        <v>20</v>
      </c>
    </row>
    <row r="24" spans="1:11" ht="20" customHeight="1">
      <c r="A24" s="2">
        <v>21</v>
      </c>
      <c r="B24" s="3" t="s">
        <v>410</v>
      </c>
      <c r="C24" s="3" t="s">
        <v>27</v>
      </c>
      <c r="D24" s="3" t="s">
        <v>47</v>
      </c>
      <c r="E24" s="2" t="s">
        <v>24</v>
      </c>
      <c r="F24" s="9" t="s">
        <v>421</v>
      </c>
      <c r="G24" s="5" t="str">
        <f t="shared" si="1"/>
        <v>Done</v>
      </c>
      <c r="H24" s="6">
        <v>46287</v>
      </c>
      <c r="I24" s="3"/>
      <c r="J24" s="21">
        <f t="shared" si="2"/>
        <v>0.1076923076923077</v>
      </c>
      <c r="K24" s="24">
        <f>COUNTIF($G$3:G24,"Done")</f>
        <v>21</v>
      </c>
    </row>
    <row r="25" spans="1:11" ht="20" customHeight="1">
      <c r="A25" s="7">
        <v>22</v>
      </c>
      <c r="B25" s="8" t="s">
        <v>410</v>
      </c>
      <c r="C25" s="8" t="s">
        <v>27</v>
      </c>
      <c r="D25" s="8" t="s">
        <v>48</v>
      </c>
      <c r="E25" s="7" t="s">
        <v>49</v>
      </c>
      <c r="F25" s="4" t="s">
        <v>420</v>
      </c>
      <c r="G25" s="5" t="str">
        <f t="shared" si="1"/>
        <v>Done</v>
      </c>
      <c r="H25" s="6">
        <v>46287</v>
      </c>
      <c r="I25" s="8"/>
      <c r="J25" s="21">
        <f t="shared" si="2"/>
        <v>0.11282051282051282</v>
      </c>
      <c r="K25" s="24">
        <f>COUNTIF($G$3:G25,"Done")</f>
        <v>22</v>
      </c>
    </row>
    <row r="26" spans="1:11" ht="20" customHeight="1">
      <c r="A26" s="2">
        <v>23</v>
      </c>
      <c r="B26" s="3" t="s">
        <v>410</v>
      </c>
      <c r="C26" s="3" t="s">
        <v>27</v>
      </c>
      <c r="D26" s="3" t="s">
        <v>50</v>
      </c>
      <c r="E26" s="2" t="s">
        <v>51</v>
      </c>
      <c r="F26" s="4" t="s">
        <v>420</v>
      </c>
      <c r="G26" s="5" t="str">
        <f t="shared" si="1"/>
        <v>Done</v>
      </c>
      <c r="H26" s="6">
        <v>46289</v>
      </c>
      <c r="I26" s="3"/>
      <c r="J26" s="21">
        <f>IF(G26="Pending","",K26/195)</f>
        <v>0.11794871794871795</v>
      </c>
      <c r="K26" s="24">
        <f>COUNTIF($G$3:G26,"Done")</f>
        <v>23</v>
      </c>
    </row>
    <row r="27" spans="1:11" ht="20" customHeight="1">
      <c r="A27" s="7">
        <v>24</v>
      </c>
      <c r="B27" s="8" t="s">
        <v>410</v>
      </c>
      <c r="C27" s="8" t="s">
        <v>27</v>
      </c>
      <c r="D27" s="8" t="s">
        <v>52</v>
      </c>
      <c r="E27" s="7" t="s">
        <v>53</v>
      </c>
      <c r="F27" s="10" t="s">
        <v>422</v>
      </c>
      <c r="G27" s="5" t="str">
        <f t="shared" si="1"/>
        <v>Done</v>
      </c>
      <c r="H27" s="6">
        <v>46289</v>
      </c>
      <c r="I27" s="8"/>
      <c r="J27" s="21">
        <f t="shared" ref="J27:J91" si="3">IF(G27="Pending","",K27/195)</f>
        <v>0.12307692307692308</v>
      </c>
      <c r="K27" s="24">
        <f>COUNTIF($G$3:G27,"Done")</f>
        <v>24</v>
      </c>
    </row>
    <row r="28" spans="1:11" ht="20" customHeight="1">
      <c r="A28" s="2">
        <v>25</v>
      </c>
      <c r="B28" s="3" t="s">
        <v>410</v>
      </c>
      <c r="C28" s="3" t="s">
        <v>27</v>
      </c>
      <c r="D28" s="3" t="s">
        <v>54</v>
      </c>
      <c r="E28" s="2" t="s">
        <v>55</v>
      </c>
      <c r="F28" s="10" t="s">
        <v>422</v>
      </c>
      <c r="G28" s="5" t="str">
        <f t="shared" si="1"/>
        <v>Done</v>
      </c>
      <c r="H28" s="6">
        <v>46289</v>
      </c>
      <c r="I28" s="3" t="s">
        <v>441</v>
      </c>
      <c r="J28" s="21">
        <f t="shared" si="3"/>
        <v>0.12820512820512819</v>
      </c>
      <c r="K28" s="24">
        <f>COUNTIF($G$3:G28,"Done")</f>
        <v>25</v>
      </c>
    </row>
    <row r="29" spans="1:11" ht="20" customHeight="1">
      <c r="A29" s="7">
        <v>26</v>
      </c>
      <c r="B29" s="8" t="s">
        <v>410</v>
      </c>
      <c r="C29" s="8" t="s">
        <v>27</v>
      </c>
      <c r="D29" s="8" t="s">
        <v>56</v>
      </c>
      <c r="E29" s="7" t="s">
        <v>57</v>
      </c>
      <c r="F29" s="4" t="s">
        <v>420</v>
      </c>
      <c r="G29" s="5" t="str">
        <f t="shared" si="1"/>
        <v>Done</v>
      </c>
      <c r="H29" s="6">
        <v>46289</v>
      </c>
      <c r="I29" s="8"/>
      <c r="J29" s="21">
        <f t="shared" si="3"/>
        <v>0.13333333333333333</v>
      </c>
      <c r="K29" s="24">
        <f>COUNTIF($G$3:G29,"Done")</f>
        <v>26</v>
      </c>
    </row>
    <row r="30" spans="1:11" ht="20" customHeight="1">
      <c r="A30" s="2">
        <v>27</v>
      </c>
      <c r="B30" s="3" t="s">
        <v>410</v>
      </c>
      <c r="C30" s="3" t="s">
        <v>27</v>
      </c>
      <c r="D30" s="3" t="s">
        <v>58</v>
      </c>
      <c r="E30" s="2" t="s">
        <v>59</v>
      </c>
      <c r="F30" s="4" t="s">
        <v>420</v>
      </c>
      <c r="G30" s="5" t="str">
        <f t="shared" si="1"/>
        <v>Done</v>
      </c>
      <c r="H30" s="6">
        <v>46289</v>
      </c>
      <c r="I30" s="3" t="s">
        <v>442</v>
      </c>
      <c r="J30" s="21">
        <f t="shared" si="3"/>
        <v>0.13846153846153847</v>
      </c>
      <c r="K30" s="24">
        <f>COUNTIF($G$3:G30,"Done")</f>
        <v>27</v>
      </c>
    </row>
    <row r="31" spans="1:11" ht="20" customHeight="1">
      <c r="A31" s="2">
        <v>28</v>
      </c>
      <c r="B31" s="3" t="s">
        <v>410</v>
      </c>
      <c r="C31" s="3" t="s">
        <v>60</v>
      </c>
      <c r="D31" s="3" t="s">
        <v>61</v>
      </c>
      <c r="E31" s="2" t="s">
        <v>62</v>
      </c>
      <c r="F31" s="4" t="s">
        <v>420</v>
      </c>
      <c r="G31" s="5" t="str">
        <f t="shared" si="1"/>
        <v>Done</v>
      </c>
      <c r="H31" s="6">
        <v>46290</v>
      </c>
      <c r="I31" s="3"/>
      <c r="J31" s="21">
        <f t="shared" si="3"/>
        <v>0.14358974358974358</v>
      </c>
      <c r="K31" s="24">
        <f>COUNTIF($G$3:G31,"Done")</f>
        <v>28</v>
      </c>
    </row>
    <row r="32" spans="1:11" ht="20" customHeight="1">
      <c r="A32" s="2">
        <v>29</v>
      </c>
      <c r="B32" s="3" t="s">
        <v>410</v>
      </c>
      <c r="C32" s="3" t="s">
        <v>60</v>
      </c>
      <c r="D32" s="3" t="s">
        <v>63</v>
      </c>
      <c r="E32" s="2" t="s">
        <v>64</v>
      </c>
      <c r="F32" s="10" t="s">
        <v>422</v>
      </c>
      <c r="G32" s="5" t="str">
        <f t="shared" si="1"/>
        <v>Done</v>
      </c>
      <c r="H32" s="6">
        <v>46290</v>
      </c>
      <c r="I32" s="3"/>
      <c r="J32" s="21">
        <f t="shared" si="3"/>
        <v>0.14871794871794872</v>
      </c>
      <c r="K32" s="24">
        <f>COUNTIF($G$3:G32,"Done")</f>
        <v>29</v>
      </c>
    </row>
    <row r="33" spans="1:11" ht="20" customHeight="1">
      <c r="A33" s="7">
        <v>30</v>
      </c>
      <c r="B33" s="8" t="s">
        <v>410</v>
      </c>
      <c r="C33" s="8" t="s">
        <v>60</v>
      </c>
      <c r="D33" s="8" t="s">
        <v>65</v>
      </c>
      <c r="E33" s="7" t="s">
        <v>66</v>
      </c>
      <c r="F33" s="10" t="s">
        <v>422</v>
      </c>
      <c r="G33" s="5" t="str">
        <f t="shared" si="1"/>
        <v>Done</v>
      </c>
      <c r="H33" s="6">
        <v>46290</v>
      </c>
      <c r="I33" s="8"/>
      <c r="J33" s="21">
        <f t="shared" si="3"/>
        <v>0.15384615384615385</v>
      </c>
      <c r="K33" s="24">
        <f>COUNTIF($G$3:G33,"Done")</f>
        <v>30</v>
      </c>
    </row>
    <row r="34" spans="1:11" ht="20" customHeight="1">
      <c r="A34" s="2">
        <v>31</v>
      </c>
      <c r="B34" s="3" t="s">
        <v>410</v>
      </c>
      <c r="C34" s="3" t="s">
        <v>60</v>
      </c>
      <c r="D34" s="3" t="s">
        <v>67</v>
      </c>
      <c r="E34" s="2" t="s">
        <v>68</v>
      </c>
      <c r="F34" s="4" t="s">
        <v>420</v>
      </c>
      <c r="G34" s="5" t="str">
        <f t="shared" si="1"/>
        <v>Done</v>
      </c>
      <c r="H34" s="6">
        <v>46290</v>
      </c>
      <c r="I34" s="3"/>
      <c r="J34" s="21">
        <f t="shared" si="3"/>
        <v>0.15897435897435896</v>
      </c>
      <c r="K34" s="24">
        <f>COUNTIF($G$3:G34,"Done")</f>
        <v>31</v>
      </c>
    </row>
    <row r="35" spans="1:11" ht="20" customHeight="1">
      <c r="A35" s="7">
        <v>32</v>
      </c>
      <c r="B35" s="8" t="s">
        <v>410</v>
      </c>
      <c r="C35" s="8" t="s">
        <v>60</v>
      </c>
      <c r="D35" s="8" t="s">
        <v>69</v>
      </c>
      <c r="E35" s="7" t="s">
        <v>70</v>
      </c>
      <c r="F35" s="9" t="s">
        <v>421</v>
      </c>
      <c r="G35" s="5" t="str">
        <f t="shared" si="1"/>
        <v>Done</v>
      </c>
      <c r="H35" s="6">
        <v>46290</v>
      </c>
      <c r="I35" s="8"/>
      <c r="J35" s="21">
        <f t="shared" si="3"/>
        <v>0.1641025641025641</v>
      </c>
      <c r="K35" s="24">
        <f>COUNTIF($G$3:G35,"Done")</f>
        <v>32</v>
      </c>
    </row>
    <row r="36" spans="1:11" ht="20" customHeight="1">
      <c r="A36" s="2">
        <v>33</v>
      </c>
      <c r="B36" s="3" t="s">
        <v>410</v>
      </c>
      <c r="C36" s="3" t="s">
        <v>60</v>
      </c>
      <c r="D36" s="3" t="s">
        <v>71</v>
      </c>
      <c r="E36" s="2" t="s">
        <v>72</v>
      </c>
      <c r="F36" s="9" t="s">
        <v>421</v>
      </c>
      <c r="G36" s="5" t="str">
        <f t="shared" si="1"/>
        <v>Done</v>
      </c>
      <c r="H36" s="6">
        <v>46290</v>
      </c>
      <c r="I36" s="3"/>
      <c r="J36" s="21">
        <f t="shared" si="3"/>
        <v>0.16923076923076924</v>
      </c>
      <c r="K36" s="24">
        <f>COUNTIF($G$3:G36,"Done")</f>
        <v>33</v>
      </c>
    </row>
    <row r="37" spans="1:11" ht="20" customHeight="1">
      <c r="A37" s="7">
        <v>34</v>
      </c>
      <c r="B37" s="8" t="s">
        <v>410</v>
      </c>
      <c r="C37" s="8" t="s">
        <v>60</v>
      </c>
      <c r="D37" s="8" t="s">
        <v>73</v>
      </c>
      <c r="E37" s="7" t="s">
        <v>74</v>
      </c>
      <c r="F37" s="9" t="s">
        <v>421</v>
      </c>
      <c r="G37" s="5" t="str">
        <f t="shared" si="1"/>
        <v>Done</v>
      </c>
      <c r="H37" s="6">
        <v>46290</v>
      </c>
      <c r="I37" s="8"/>
      <c r="J37" s="21">
        <f t="shared" si="3"/>
        <v>0.17435897435897435</v>
      </c>
      <c r="K37" s="24">
        <f>COUNTIF($G$3:G37,"Done")</f>
        <v>34</v>
      </c>
    </row>
    <row r="38" spans="1:11" ht="20" customHeight="1">
      <c r="A38" s="2">
        <v>35</v>
      </c>
      <c r="B38" s="3" t="s">
        <v>410</v>
      </c>
      <c r="C38" s="3" t="s">
        <v>60</v>
      </c>
      <c r="D38" s="3" t="s">
        <v>75</v>
      </c>
      <c r="E38" s="2" t="s">
        <v>76</v>
      </c>
      <c r="F38" s="9" t="s">
        <v>421</v>
      </c>
      <c r="G38" s="5" t="str">
        <f t="shared" si="1"/>
        <v>Done</v>
      </c>
      <c r="H38" s="6">
        <v>46290</v>
      </c>
      <c r="I38" s="3"/>
      <c r="J38" s="21">
        <f t="shared" si="3"/>
        <v>0.17948717948717949</v>
      </c>
      <c r="K38" s="24">
        <f>COUNTIF($G$3:G38,"Done")</f>
        <v>35</v>
      </c>
    </row>
    <row r="39" spans="1:11" ht="20" customHeight="1">
      <c r="A39" s="7">
        <v>36</v>
      </c>
      <c r="B39" s="8" t="s">
        <v>410</v>
      </c>
      <c r="C39" s="8" t="s">
        <v>60</v>
      </c>
      <c r="D39" s="8" t="s">
        <v>77</v>
      </c>
      <c r="E39" s="7" t="s">
        <v>78</v>
      </c>
      <c r="F39" s="4" t="s">
        <v>420</v>
      </c>
      <c r="G39" s="5" t="str">
        <f t="shared" si="1"/>
        <v>Done</v>
      </c>
      <c r="H39" s="6">
        <v>46290</v>
      </c>
      <c r="I39" s="8"/>
      <c r="J39" s="21">
        <f t="shared" si="3"/>
        <v>0.18461538461538463</v>
      </c>
      <c r="K39" s="24">
        <f>COUNTIF($G$3:G39,"Done")</f>
        <v>36</v>
      </c>
    </row>
    <row r="40" spans="1:11" ht="20" customHeight="1">
      <c r="A40" s="2">
        <v>37</v>
      </c>
      <c r="B40" s="3" t="s">
        <v>410</v>
      </c>
      <c r="C40" s="3" t="s">
        <v>60</v>
      </c>
      <c r="D40" s="3" t="s">
        <v>79</v>
      </c>
      <c r="E40" s="2" t="s">
        <v>80</v>
      </c>
      <c r="F40" s="10" t="s">
        <v>422</v>
      </c>
      <c r="G40" s="5" t="str">
        <f t="shared" si="1"/>
        <v>Done</v>
      </c>
      <c r="H40" s="6">
        <v>46290</v>
      </c>
      <c r="I40" s="3"/>
      <c r="J40" s="21">
        <f t="shared" si="3"/>
        <v>0.18974358974358974</v>
      </c>
      <c r="K40" s="24">
        <f>COUNTIF($G$3:G40,"Done")</f>
        <v>37</v>
      </c>
    </row>
    <row r="41" spans="1:11" ht="20" customHeight="1">
      <c r="A41" s="7">
        <v>38</v>
      </c>
      <c r="B41" s="8" t="s">
        <v>410</v>
      </c>
      <c r="C41" s="8" t="s">
        <v>60</v>
      </c>
      <c r="D41" s="8" t="s">
        <v>81</v>
      </c>
      <c r="E41" s="7" t="s">
        <v>82</v>
      </c>
      <c r="F41" s="9" t="s">
        <v>421</v>
      </c>
      <c r="G41" s="5" t="str">
        <f t="shared" si="1"/>
        <v>Done</v>
      </c>
      <c r="H41" s="6">
        <v>46290</v>
      </c>
      <c r="I41" s="8"/>
      <c r="J41" s="21">
        <f t="shared" si="3"/>
        <v>0.19487179487179487</v>
      </c>
      <c r="K41" s="24">
        <f>COUNTIF($G$3:G41,"Done")</f>
        <v>38</v>
      </c>
    </row>
    <row r="42" spans="1:11" ht="20" customHeight="1">
      <c r="A42" s="2">
        <v>39</v>
      </c>
      <c r="B42" s="3" t="s">
        <v>410</v>
      </c>
      <c r="C42" s="3" t="s">
        <v>60</v>
      </c>
      <c r="D42" s="3" t="s">
        <v>83</v>
      </c>
      <c r="E42" s="2" t="s">
        <v>20</v>
      </c>
      <c r="F42" s="9" t="s">
        <v>421</v>
      </c>
      <c r="G42" s="5" t="str">
        <f t="shared" si="1"/>
        <v>Done</v>
      </c>
      <c r="H42" s="6">
        <v>46290</v>
      </c>
      <c r="I42" s="3"/>
      <c r="J42" s="21">
        <f t="shared" si="3"/>
        <v>0.2</v>
      </c>
      <c r="K42" s="24">
        <f>COUNTIF($G$3:G42,"Done")</f>
        <v>39</v>
      </c>
    </row>
    <row r="43" spans="1:11" ht="20" customHeight="1">
      <c r="A43" s="7">
        <v>40</v>
      </c>
      <c r="B43" s="8" t="s">
        <v>410</v>
      </c>
      <c r="C43" s="8" t="s">
        <v>60</v>
      </c>
      <c r="D43" s="8" t="s">
        <v>84</v>
      </c>
      <c r="E43" s="7" t="s">
        <v>85</v>
      </c>
      <c r="F43" s="4" t="s">
        <v>420</v>
      </c>
      <c r="G43" s="5" t="str">
        <f t="shared" si="1"/>
        <v>Done</v>
      </c>
      <c r="H43" s="6">
        <v>46290</v>
      </c>
      <c r="I43" s="8"/>
      <c r="J43" s="21">
        <f t="shared" si="3"/>
        <v>0.20512820512820512</v>
      </c>
      <c r="K43" s="24">
        <f>COUNTIF($G$3:G43,"Done")</f>
        <v>40</v>
      </c>
    </row>
    <row r="44" spans="1:11" ht="20" customHeight="1">
      <c r="A44" s="2">
        <v>41</v>
      </c>
      <c r="B44" s="3" t="s">
        <v>410</v>
      </c>
      <c r="C44" s="3" t="s">
        <v>60</v>
      </c>
      <c r="D44" s="3" t="s">
        <v>86</v>
      </c>
      <c r="E44" s="2" t="s">
        <v>18</v>
      </c>
      <c r="F44" s="10" t="s">
        <v>422</v>
      </c>
      <c r="G44" s="5" t="str">
        <f t="shared" si="1"/>
        <v>Done</v>
      </c>
      <c r="H44" s="6">
        <v>46290</v>
      </c>
      <c r="I44" s="3"/>
      <c r="J44" s="21">
        <f t="shared" si="3"/>
        <v>0.21025641025641026</v>
      </c>
      <c r="K44" s="24">
        <f>COUNTIF($G$3:G44,"Done")</f>
        <v>41</v>
      </c>
    </row>
    <row r="45" spans="1:11" ht="20" customHeight="1">
      <c r="A45" s="7">
        <v>42</v>
      </c>
      <c r="B45" s="8" t="s">
        <v>410</v>
      </c>
      <c r="C45" s="8" t="s">
        <v>60</v>
      </c>
      <c r="D45" s="8" t="s">
        <v>87</v>
      </c>
      <c r="E45" s="7" t="s">
        <v>88</v>
      </c>
      <c r="F45" s="4" t="s">
        <v>420</v>
      </c>
      <c r="G45" s="5" t="str">
        <f t="shared" si="1"/>
        <v>Done</v>
      </c>
      <c r="H45" s="6">
        <v>46290</v>
      </c>
      <c r="I45" s="8"/>
      <c r="J45" s="21">
        <f t="shared" si="3"/>
        <v>0.2153846153846154</v>
      </c>
      <c r="K45" s="24">
        <f>COUNTIF($G$3:G45,"Done")</f>
        <v>42</v>
      </c>
    </row>
    <row r="46" spans="1:11" ht="20" customHeight="1">
      <c r="A46" s="2">
        <v>43</v>
      </c>
      <c r="B46" s="3" t="s">
        <v>410</v>
      </c>
      <c r="C46" s="3" t="s">
        <v>60</v>
      </c>
      <c r="D46" s="3" t="s">
        <v>89</v>
      </c>
      <c r="E46" s="2" t="s">
        <v>90</v>
      </c>
      <c r="F46" s="10" t="s">
        <v>422</v>
      </c>
      <c r="G46" s="5" t="str">
        <f t="shared" si="1"/>
        <v>Done</v>
      </c>
      <c r="H46" s="6">
        <v>46290</v>
      </c>
      <c r="I46" s="3"/>
      <c r="J46" s="21">
        <f t="shared" si="3"/>
        <v>0.22051282051282051</v>
      </c>
      <c r="K46" s="24">
        <f>COUNTIF($G$3:G46,"Done")</f>
        <v>43</v>
      </c>
    </row>
    <row r="47" spans="1:11" ht="20" customHeight="1">
      <c r="A47" s="7">
        <v>44</v>
      </c>
      <c r="B47" s="8" t="s">
        <v>410</v>
      </c>
      <c r="C47" s="8" t="s">
        <v>60</v>
      </c>
      <c r="D47" s="8" t="s">
        <v>91</v>
      </c>
      <c r="E47" s="7" t="s">
        <v>92</v>
      </c>
      <c r="F47" s="9" t="s">
        <v>421</v>
      </c>
      <c r="G47" s="5" t="str">
        <f t="shared" si="1"/>
        <v>Done</v>
      </c>
      <c r="H47" s="6">
        <v>46290</v>
      </c>
      <c r="I47" s="8"/>
      <c r="J47" s="21">
        <f t="shared" si="3"/>
        <v>0.22564102564102564</v>
      </c>
      <c r="K47" s="24">
        <f>COUNTIF($G$3:G47,"Done")</f>
        <v>44</v>
      </c>
    </row>
    <row r="48" spans="1:11" ht="20" customHeight="1">
      <c r="A48" s="2">
        <v>45</v>
      </c>
      <c r="B48" s="3" t="s">
        <v>410</v>
      </c>
      <c r="C48" s="3" t="s">
        <v>60</v>
      </c>
      <c r="D48" s="3" t="s">
        <v>93</v>
      </c>
      <c r="E48" s="2" t="s">
        <v>94</v>
      </c>
      <c r="F48" s="9" t="s">
        <v>421</v>
      </c>
      <c r="G48" s="5" t="str">
        <f t="shared" si="1"/>
        <v>Done</v>
      </c>
      <c r="H48" s="6">
        <v>46290</v>
      </c>
      <c r="I48" s="3"/>
      <c r="J48" s="21">
        <f t="shared" si="3"/>
        <v>0.23076923076923078</v>
      </c>
      <c r="K48" s="24">
        <f>COUNTIF($G$3:G48,"Done")</f>
        <v>45</v>
      </c>
    </row>
    <row r="49" spans="1:11" ht="20" customHeight="1">
      <c r="A49" s="7">
        <v>46</v>
      </c>
      <c r="B49" s="8" t="s">
        <v>410</v>
      </c>
      <c r="C49" s="8" t="s">
        <v>60</v>
      </c>
      <c r="D49" s="8" t="s">
        <v>95</v>
      </c>
      <c r="E49" s="7" t="s">
        <v>16</v>
      </c>
      <c r="F49" s="4" t="s">
        <v>420</v>
      </c>
      <c r="G49" s="5" t="str">
        <f t="shared" si="1"/>
        <v>Done</v>
      </c>
      <c r="H49" s="6">
        <v>46290</v>
      </c>
      <c r="I49" s="8"/>
      <c r="J49" s="21">
        <f t="shared" si="3"/>
        <v>0.23589743589743589</v>
      </c>
      <c r="K49" s="24">
        <f>COUNTIF($G$3:G49,"Done")</f>
        <v>46</v>
      </c>
    </row>
    <row r="50" spans="1:11" ht="20" customHeight="1">
      <c r="A50" s="2">
        <v>47</v>
      </c>
      <c r="B50" s="3" t="s">
        <v>410</v>
      </c>
      <c r="C50" s="3" t="s">
        <v>60</v>
      </c>
      <c r="D50" s="3" t="s">
        <v>96</v>
      </c>
      <c r="E50" s="2" t="s">
        <v>97</v>
      </c>
      <c r="F50" s="9" t="s">
        <v>421</v>
      </c>
      <c r="G50" s="5" t="str">
        <f t="shared" si="1"/>
        <v>Done</v>
      </c>
      <c r="H50" s="6">
        <v>46291</v>
      </c>
      <c r="I50" s="3"/>
      <c r="J50" s="21">
        <f t="shared" si="3"/>
        <v>0.24102564102564103</v>
      </c>
      <c r="K50" s="24">
        <f>COUNTIF($G$3:G50,"Done")</f>
        <v>47</v>
      </c>
    </row>
    <row r="51" spans="1:11" ht="20" customHeight="1">
      <c r="A51" s="7">
        <v>48</v>
      </c>
      <c r="B51" s="8" t="s">
        <v>410</v>
      </c>
      <c r="C51" s="8" t="s">
        <v>60</v>
      </c>
      <c r="D51" s="8" t="s">
        <v>98</v>
      </c>
      <c r="E51" s="7" t="s">
        <v>99</v>
      </c>
      <c r="F51" s="4" t="s">
        <v>420</v>
      </c>
      <c r="G51" s="5" t="str">
        <f t="shared" si="1"/>
        <v>Done</v>
      </c>
      <c r="H51" s="6">
        <v>46291</v>
      </c>
      <c r="I51" s="8"/>
      <c r="J51" s="21">
        <f t="shared" si="3"/>
        <v>0.24615384615384617</v>
      </c>
      <c r="K51" s="24">
        <f>COUNTIF($G$3:G51,"Done")</f>
        <v>48</v>
      </c>
    </row>
    <row r="52" spans="1:11" ht="20" customHeight="1">
      <c r="A52" s="2">
        <v>49</v>
      </c>
      <c r="B52" s="3" t="s">
        <v>410</v>
      </c>
      <c r="C52" s="3" t="s">
        <v>60</v>
      </c>
      <c r="D52" s="3" t="s">
        <v>100</v>
      </c>
      <c r="E52" s="2" t="s">
        <v>101</v>
      </c>
      <c r="F52" s="4" t="s">
        <v>420</v>
      </c>
      <c r="G52" s="5" t="str">
        <f t="shared" si="1"/>
        <v>Done</v>
      </c>
      <c r="H52" s="6">
        <v>46291</v>
      </c>
      <c r="I52" s="3"/>
      <c r="J52" s="21">
        <f t="shared" si="3"/>
        <v>0.25128205128205128</v>
      </c>
      <c r="K52" s="24">
        <f>COUNTIF($G$3:G52,"Done")</f>
        <v>49</v>
      </c>
    </row>
    <row r="53" spans="1:11" ht="20" customHeight="1">
      <c r="A53" s="7">
        <v>50</v>
      </c>
      <c r="B53" s="8" t="s">
        <v>410</v>
      </c>
      <c r="C53" s="8" t="s">
        <v>60</v>
      </c>
      <c r="D53" s="8" t="s">
        <v>102</v>
      </c>
      <c r="E53" s="7" t="s">
        <v>103</v>
      </c>
      <c r="F53" s="9" t="s">
        <v>421</v>
      </c>
      <c r="G53" s="5" t="str">
        <f t="shared" si="1"/>
        <v>Done</v>
      </c>
      <c r="H53" s="6">
        <v>46291</v>
      </c>
      <c r="I53" s="8"/>
      <c r="J53" s="21">
        <f t="shared" si="3"/>
        <v>0.25641025641025639</v>
      </c>
      <c r="K53" s="24">
        <f>COUNTIF($G$3:G53,"Done")</f>
        <v>50</v>
      </c>
    </row>
    <row r="54" spans="1:11" ht="20" customHeight="1">
      <c r="A54" s="2">
        <v>51</v>
      </c>
      <c r="B54" s="3" t="s">
        <v>410</v>
      </c>
      <c r="C54" s="3" t="s">
        <v>60</v>
      </c>
      <c r="D54" s="3" t="s">
        <v>104</v>
      </c>
      <c r="E54" s="2" t="s">
        <v>105</v>
      </c>
      <c r="F54" s="4" t="s">
        <v>420</v>
      </c>
      <c r="G54" s="5" t="str">
        <f t="shared" si="1"/>
        <v>Done</v>
      </c>
      <c r="H54" s="6">
        <v>46291</v>
      </c>
      <c r="I54" s="3"/>
      <c r="J54" s="21">
        <f t="shared" si="3"/>
        <v>0.26153846153846155</v>
      </c>
      <c r="K54" s="24">
        <f>COUNTIF($G$3:G54,"Done")</f>
        <v>51</v>
      </c>
    </row>
    <row r="55" spans="1:11" ht="20" customHeight="1">
      <c r="A55" s="7">
        <v>52</v>
      </c>
      <c r="B55" s="8" t="s">
        <v>410</v>
      </c>
      <c r="C55" s="8" t="s">
        <v>60</v>
      </c>
      <c r="D55" s="8" t="s">
        <v>106</v>
      </c>
      <c r="E55" s="7" t="s">
        <v>107</v>
      </c>
      <c r="F55" s="4" t="s">
        <v>420</v>
      </c>
      <c r="G55" s="5" t="str">
        <f t="shared" si="1"/>
        <v>Done</v>
      </c>
      <c r="H55" s="6">
        <v>46291</v>
      </c>
      <c r="I55" s="8"/>
      <c r="J55" s="21">
        <f t="shared" si="3"/>
        <v>0.26666666666666666</v>
      </c>
      <c r="K55" s="24">
        <f>COUNTIF($G$3:G55,"Done")</f>
        <v>52</v>
      </c>
    </row>
    <row r="56" spans="1:11" ht="20" customHeight="1">
      <c r="A56" s="2">
        <v>53</v>
      </c>
      <c r="B56" s="3" t="s">
        <v>410</v>
      </c>
      <c r="C56" s="3" t="s">
        <v>108</v>
      </c>
      <c r="D56" s="3" t="s">
        <v>109</v>
      </c>
      <c r="E56" s="2" t="s">
        <v>110</v>
      </c>
      <c r="F56" s="4" t="s">
        <v>420</v>
      </c>
      <c r="G56" s="5" t="str">
        <f t="shared" si="1"/>
        <v>Done</v>
      </c>
      <c r="H56" s="6">
        <v>46291</v>
      </c>
      <c r="I56" s="3"/>
      <c r="J56" s="21">
        <f t="shared" si="3"/>
        <v>0.27179487179487177</v>
      </c>
      <c r="K56" s="24">
        <f>COUNTIF($G$3:G56,"Done")</f>
        <v>53</v>
      </c>
    </row>
    <row r="57" spans="1:11" ht="20" customHeight="1">
      <c r="A57" s="7">
        <v>54</v>
      </c>
      <c r="B57" s="8" t="s">
        <v>410</v>
      </c>
      <c r="C57" s="8" t="s">
        <v>108</v>
      </c>
      <c r="D57" s="8" t="s">
        <v>111</v>
      </c>
      <c r="E57" s="7" t="s">
        <v>112</v>
      </c>
      <c r="F57" s="9" t="s">
        <v>421</v>
      </c>
      <c r="G57" s="5" t="str">
        <f t="shared" si="1"/>
        <v>Done</v>
      </c>
      <c r="H57" s="6">
        <v>46291</v>
      </c>
      <c r="I57" s="8"/>
      <c r="J57" s="21">
        <f t="shared" si="3"/>
        <v>0.27692307692307694</v>
      </c>
      <c r="K57" s="24">
        <f>COUNTIF($G$3:G57,"Done")</f>
        <v>54</v>
      </c>
    </row>
    <row r="58" spans="1:11" ht="20" customHeight="1">
      <c r="A58" s="2">
        <v>55</v>
      </c>
      <c r="B58" s="3" t="s">
        <v>410</v>
      </c>
      <c r="C58" s="3" t="s">
        <v>108</v>
      </c>
      <c r="D58" s="3" t="s">
        <v>113</v>
      </c>
      <c r="E58" s="2" t="s">
        <v>114</v>
      </c>
      <c r="F58" s="9" t="s">
        <v>421</v>
      </c>
      <c r="G58" s="5" t="str">
        <f t="shared" si="1"/>
        <v>Done</v>
      </c>
      <c r="H58" s="6">
        <v>46291</v>
      </c>
      <c r="I58" s="3"/>
      <c r="J58" s="21">
        <f t="shared" si="3"/>
        <v>0.28205128205128205</v>
      </c>
      <c r="K58" s="24">
        <f>COUNTIF($G$3:G58,"Done")</f>
        <v>55</v>
      </c>
    </row>
    <row r="59" spans="1:11" ht="20" customHeight="1">
      <c r="A59" s="7">
        <v>56</v>
      </c>
      <c r="B59" s="8" t="s">
        <v>410</v>
      </c>
      <c r="C59" s="8" t="s">
        <v>108</v>
      </c>
      <c r="D59" s="8" t="s">
        <v>115</v>
      </c>
      <c r="E59" s="7" t="s">
        <v>116</v>
      </c>
      <c r="F59" s="9" t="s">
        <v>421</v>
      </c>
      <c r="G59" s="5" t="str">
        <f t="shared" si="1"/>
        <v>Done</v>
      </c>
      <c r="H59" s="6">
        <v>46291</v>
      </c>
      <c r="I59" s="8"/>
      <c r="J59" s="21">
        <f t="shared" si="3"/>
        <v>0.28717948717948716</v>
      </c>
      <c r="K59" s="24">
        <f>COUNTIF($G$3:G59,"Done")</f>
        <v>56</v>
      </c>
    </row>
    <row r="60" spans="1:11" ht="20" customHeight="1">
      <c r="A60" s="2">
        <v>57</v>
      </c>
      <c r="B60" s="3" t="s">
        <v>410</v>
      </c>
      <c r="C60" s="3" t="s">
        <v>108</v>
      </c>
      <c r="D60" s="3" t="s">
        <v>117</v>
      </c>
      <c r="E60" s="2" t="s">
        <v>76</v>
      </c>
      <c r="F60" s="9" t="s">
        <v>421</v>
      </c>
      <c r="G60" s="5" t="str">
        <f t="shared" si="1"/>
        <v>Done</v>
      </c>
      <c r="H60" s="6">
        <v>46291</v>
      </c>
      <c r="I60" s="3"/>
      <c r="J60" s="21">
        <f t="shared" si="3"/>
        <v>0.29230769230769232</v>
      </c>
      <c r="K60" s="24">
        <f>COUNTIF($G$3:G60,"Done")</f>
        <v>57</v>
      </c>
    </row>
    <row r="61" spans="1:11" ht="20" customHeight="1">
      <c r="A61" s="7">
        <v>58</v>
      </c>
      <c r="B61" s="8" t="s">
        <v>410</v>
      </c>
      <c r="C61" s="8" t="s">
        <v>108</v>
      </c>
      <c r="D61" s="8" t="s">
        <v>118</v>
      </c>
      <c r="E61" s="7" t="s">
        <v>119</v>
      </c>
      <c r="F61" s="9" t="s">
        <v>421</v>
      </c>
      <c r="G61" s="5" t="str">
        <f t="shared" si="1"/>
        <v>Done</v>
      </c>
      <c r="H61" s="6">
        <v>46291</v>
      </c>
      <c r="I61" s="8"/>
      <c r="J61" s="21">
        <f t="shared" si="3"/>
        <v>0.29743589743589743</v>
      </c>
      <c r="K61" s="24">
        <f>COUNTIF($G$3:G61,"Done")</f>
        <v>58</v>
      </c>
    </row>
    <row r="62" spans="1:11" ht="20" customHeight="1">
      <c r="A62" s="2">
        <v>59</v>
      </c>
      <c r="B62" s="3" t="s">
        <v>410</v>
      </c>
      <c r="C62" s="3" t="s">
        <v>108</v>
      </c>
      <c r="D62" s="3" t="s">
        <v>120</v>
      </c>
      <c r="E62" s="2" t="s">
        <v>121</v>
      </c>
      <c r="F62" s="4" t="s">
        <v>420</v>
      </c>
      <c r="G62" s="5" t="str">
        <f t="shared" si="1"/>
        <v>Done</v>
      </c>
      <c r="H62" s="6">
        <v>46291</v>
      </c>
      <c r="I62" s="3"/>
      <c r="J62" s="21">
        <f t="shared" si="3"/>
        <v>0.30256410256410254</v>
      </c>
      <c r="K62" s="24">
        <f>COUNTIF($G$3:G62,"Done")</f>
        <v>59</v>
      </c>
    </row>
    <row r="63" spans="1:11" ht="20" customHeight="1">
      <c r="A63" s="7">
        <v>60</v>
      </c>
      <c r="B63" s="8" t="s">
        <v>410</v>
      </c>
      <c r="C63" s="8" t="s">
        <v>108</v>
      </c>
      <c r="D63" s="8" t="s">
        <v>122</v>
      </c>
      <c r="E63" s="7" t="s">
        <v>123</v>
      </c>
      <c r="F63" s="9" t="s">
        <v>421</v>
      </c>
      <c r="G63" s="5" t="str">
        <f t="shared" si="1"/>
        <v>Done</v>
      </c>
      <c r="H63" s="6">
        <v>46291</v>
      </c>
      <c r="I63" s="8"/>
      <c r="J63" s="21">
        <f t="shared" si="3"/>
        <v>0.30769230769230771</v>
      </c>
      <c r="K63" s="24">
        <f>COUNTIF($G$3:G63,"Done")</f>
        <v>60</v>
      </c>
    </row>
    <row r="64" spans="1:11" ht="20" customHeight="1">
      <c r="A64" s="2">
        <v>61</v>
      </c>
      <c r="B64" s="3" t="s">
        <v>410</v>
      </c>
      <c r="C64" s="3" t="s">
        <v>108</v>
      </c>
      <c r="D64" s="3" t="s">
        <v>124</v>
      </c>
      <c r="E64" s="2" t="s">
        <v>125</v>
      </c>
      <c r="F64" s="9" t="s">
        <v>421</v>
      </c>
      <c r="G64" s="5" t="str">
        <f t="shared" si="1"/>
        <v>Done</v>
      </c>
      <c r="H64" s="6">
        <v>46291</v>
      </c>
      <c r="I64" s="3"/>
      <c r="J64" s="21">
        <f t="shared" si="3"/>
        <v>0.31282051282051282</v>
      </c>
      <c r="K64" s="24">
        <f>COUNTIF($G$3:G64,"Done")</f>
        <v>61</v>
      </c>
    </row>
    <row r="65" spans="1:11" ht="20" customHeight="1">
      <c r="A65" s="7">
        <v>62</v>
      </c>
      <c r="B65" s="8" t="s">
        <v>410</v>
      </c>
      <c r="C65" s="8" t="s">
        <v>108</v>
      </c>
      <c r="D65" s="8" t="s">
        <v>126</v>
      </c>
      <c r="E65" s="7" t="s">
        <v>31</v>
      </c>
      <c r="F65" s="9" t="s">
        <v>421</v>
      </c>
      <c r="G65" s="5" t="str">
        <f t="shared" si="1"/>
        <v>Done</v>
      </c>
      <c r="H65" s="6">
        <v>46291</v>
      </c>
      <c r="I65" s="8"/>
      <c r="J65" s="21">
        <f t="shared" si="3"/>
        <v>0.31794871794871793</v>
      </c>
      <c r="K65" s="24">
        <f>COUNTIF($G$3:G65,"Done")</f>
        <v>62</v>
      </c>
    </row>
    <row r="66" spans="1:11" ht="20" customHeight="1">
      <c r="A66" s="2">
        <v>63</v>
      </c>
      <c r="B66" s="3" t="s">
        <v>410</v>
      </c>
      <c r="C66" s="3" t="s">
        <v>108</v>
      </c>
      <c r="D66" s="3" t="s">
        <v>127</v>
      </c>
      <c r="E66" s="2" t="s">
        <v>128</v>
      </c>
      <c r="F66" s="9" t="s">
        <v>421</v>
      </c>
      <c r="G66" s="5" t="str">
        <f t="shared" si="1"/>
        <v>Done</v>
      </c>
      <c r="H66" s="6">
        <v>46291</v>
      </c>
      <c r="I66" s="3"/>
      <c r="J66" s="21">
        <f t="shared" si="3"/>
        <v>0.32307692307692309</v>
      </c>
      <c r="K66" s="24">
        <f>COUNTIF($G$3:G66,"Done")</f>
        <v>63</v>
      </c>
    </row>
    <row r="67" spans="1:11" ht="20" customHeight="1">
      <c r="A67" s="7">
        <v>64</v>
      </c>
      <c r="B67" s="8" t="s">
        <v>410</v>
      </c>
      <c r="C67" s="8" t="s">
        <v>108</v>
      </c>
      <c r="D67" s="8" t="s">
        <v>129</v>
      </c>
      <c r="E67" s="7" t="s">
        <v>130</v>
      </c>
      <c r="F67" s="10" t="s">
        <v>422</v>
      </c>
      <c r="G67" s="5" t="str">
        <f t="shared" si="1"/>
        <v>Done</v>
      </c>
      <c r="H67" s="6">
        <v>46291</v>
      </c>
      <c r="I67" s="8"/>
      <c r="J67" s="21">
        <f t="shared" si="3"/>
        <v>0.3282051282051282</v>
      </c>
      <c r="K67" s="24">
        <f>COUNTIF($G$3:G67,"Done")</f>
        <v>64</v>
      </c>
    </row>
    <row r="68" spans="1:11" ht="20" customHeight="1">
      <c r="A68" s="2">
        <v>65</v>
      </c>
      <c r="B68" s="3" t="s">
        <v>410</v>
      </c>
      <c r="C68" s="3" t="s">
        <v>108</v>
      </c>
      <c r="D68" s="3" t="s">
        <v>131</v>
      </c>
      <c r="E68" s="2" t="s">
        <v>132</v>
      </c>
      <c r="F68" s="9" t="s">
        <v>421</v>
      </c>
      <c r="G68" s="5" t="str">
        <f t="shared" si="1"/>
        <v>Done</v>
      </c>
      <c r="H68" s="6">
        <v>46291</v>
      </c>
      <c r="I68" s="3"/>
      <c r="J68" s="21">
        <f t="shared" si="3"/>
        <v>0.33333333333333331</v>
      </c>
      <c r="K68" s="24">
        <f>COUNTIF($G$3:G68,"Done")</f>
        <v>65</v>
      </c>
    </row>
    <row r="69" spans="1:11" ht="20" customHeight="1">
      <c r="A69" s="7">
        <v>66</v>
      </c>
      <c r="B69" s="8" t="s">
        <v>410</v>
      </c>
      <c r="C69" s="8" t="s">
        <v>108</v>
      </c>
      <c r="D69" s="8" t="s">
        <v>133</v>
      </c>
      <c r="E69" s="7" t="s">
        <v>134</v>
      </c>
      <c r="F69" s="9" t="s">
        <v>421</v>
      </c>
      <c r="G69" s="5" t="str">
        <f t="shared" si="1"/>
        <v>Done</v>
      </c>
      <c r="H69" s="6">
        <v>46291</v>
      </c>
      <c r="I69" s="8"/>
      <c r="J69" s="21">
        <f t="shared" si="3"/>
        <v>0.33846153846153848</v>
      </c>
      <c r="K69" s="24">
        <f>COUNTIF($G$3:G69,"Done")</f>
        <v>66</v>
      </c>
    </row>
    <row r="70" spans="1:11" ht="20" customHeight="1">
      <c r="A70" s="2">
        <v>67</v>
      </c>
      <c r="B70" s="3" t="s">
        <v>410</v>
      </c>
      <c r="C70" s="3" t="s">
        <v>108</v>
      </c>
      <c r="D70" s="3" t="s">
        <v>135</v>
      </c>
      <c r="E70" s="2" t="s">
        <v>136</v>
      </c>
      <c r="F70" s="10" t="s">
        <v>422</v>
      </c>
      <c r="G70" s="5" t="str">
        <f t="shared" si="1"/>
        <v>Done</v>
      </c>
      <c r="H70" s="6">
        <v>46291</v>
      </c>
      <c r="I70" s="3"/>
      <c r="J70" s="21">
        <f t="shared" si="3"/>
        <v>0.34358974358974359</v>
      </c>
      <c r="K70" s="24">
        <f>COUNTIF($G$3:G70,"Done")</f>
        <v>67</v>
      </c>
    </row>
    <row r="71" spans="1:11" ht="20" customHeight="1">
      <c r="A71" s="7">
        <v>68</v>
      </c>
      <c r="B71" s="8" t="s">
        <v>410</v>
      </c>
      <c r="C71" s="8" t="s">
        <v>108</v>
      </c>
      <c r="D71" s="8" t="s">
        <v>137</v>
      </c>
      <c r="E71" s="7" t="s">
        <v>138</v>
      </c>
      <c r="F71" s="4" t="s">
        <v>420</v>
      </c>
      <c r="G71" s="5" t="str">
        <f t="shared" si="1"/>
        <v>Done</v>
      </c>
      <c r="H71" s="6">
        <v>46291</v>
      </c>
      <c r="I71" s="8"/>
      <c r="J71" s="21">
        <f t="shared" si="3"/>
        <v>0.3487179487179487</v>
      </c>
      <c r="K71" s="24">
        <f>COUNTIF($G$3:G71,"Done")</f>
        <v>68</v>
      </c>
    </row>
    <row r="72" spans="1:11" ht="20" customHeight="1">
      <c r="A72" s="2">
        <v>69</v>
      </c>
      <c r="B72" s="3" t="s">
        <v>410</v>
      </c>
      <c r="C72" s="3" t="s">
        <v>108</v>
      </c>
      <c r="D72" s="3" t="s">
        <v>139</v>
      </c>
      <c r="E72" s="2" t="s">
        <v>76</v>
      </c>
      <c r="F72" s="9" t="s">
        <v>421</v>
      </c>
      <c r="G72" s="5" t="str">
        <f t="shared" si="1"/>
        <v>Done</v>
      </c>
      <c r="H72" s="6">
        <v>46291</v>
      </c>
      <c r="I72" s="3"/>
      <c r="J72" s="21">
        <f t="shared" si="3"/>
        <v>0.35384615384615387</v>
      </c>
      <c r="K72" s="24">
        <f>COUNTIF($G$3:G72,"Done")</f>
        <v>69</v>
      </c>
    </row>
    <row r="73" spans="1:11" ht="20" customHeight="1">
      <c r="A73" s="7">
        <v>70</v>
      </c>
      <c r="B73" s="8" t="s">
        <v>410</v>
      </c>
      <c r="C73" s="8" t="s">
        <v>108</v>
      </c>
      <c r="D73" s="8" t="s">
        <v>140</v>
      </c>
      <c r="E73" s="7" t="s">
        <v>141</v>
      </c>
      <c r="F73" s="4" t="s">
        <v>420</v>
      </c>
      <c r="G73" s="5" t="str">
        <f t="shared" si="1"/>
        <v>Done</v>
      </c>
      <c r="H73" s="6">
        <v>46291</v>
      </c>
      <c r="I73" s="8"/>
      <c r="J73" s="21">
        <f t="shared" si="3"/>
        <v>0.35897435897435898</v>
      </c>
      <c r="K73" s="24">
        <f>COUNTIF($G$3:G73,"Done")</f>
        <v>70</v>
      </c>
    </row>
    <row r="74" spans="1:11" ht="20" customHeight="1">
      <c r="A74" s="2">
        <v>71</v>
      </c>
      <c r="B74" s="3" t="s">
        <v>410</v>
      </c>
      <c r="C74" s="3" t="s">
        <v>108</v>
      </c>
      <c r="D74" s="3" t="s">
        <v>142</v>
      </c>
      <c r="E74" s="2" t="s">
        <v>143</v>
      </c>
      <c r="F74" s="4" t="s">
        <v>420</v>
      </c>
      <c r="G74" s="5" t="str">
        <f t="shared" si="1"/>
        <v>Done</v>
      </c>
      <c r="H74" s="6">
        <v>46291</v>
      </c>
      <c r="I74" s="3"/>
      <c r="J74" s="21">
        <f t="shared" si="3"/>
        <v>0.36410256410256409</v>
      </c>
      <c r="K74" s="24">
        <f>COUNTIF($G$3:G74,"Done")</f>
        <v>71</v>
      </c>
    </row>
    <row r="75" spans="1:11" ht="20" customHeight="1">
      <c r="A75" s="7">
        <v>72</v>
      </c>
      <c r="B75" s="8" t="s">
        <v>410</v>
      </c>
      <c r="C75" s="8" t="s">
        <v>108</v>
      </c>
      <c r="D75" s="8" t="s">
        <v>144</v>
      </c>
      <c r="E75" s="7" t="s">
        <v>145</v>
      </c>
      <c r="F75" s="10" t="s">
        <v>422</v>
      </c>
      <c r="G75" s="5" t="str">
        <f t="shared" si="1"/>
        <v>Done</v>
      </c>
      <c r="H75" s="6">
        <v>46291</v>
      </c>
      <c r="I75" s="8"/>
      <c r="J75" s="21">
        <f t="shared" si="3"/>
        <v>0.36923076923076925</v>
      </c>
      <c r="K75" s="24">
        <f>COUNTIF($G$3:G75,"Done")</f>
        <v>72</v>
      </c>
    </row>
    <row r="76" spans="1:11" ht="20" customHeight="1">
      <c r="A76" s="2">
        <v>73</v>
      </c>
      <c r="B76" s="3" t="s">
        <v>410</v>
      </c>
      <c r="C76" s="3" t="s">
        <v>108</v>
      </c>
      <c r="D76" s="3" t="s">
        <v>146</v>
      </c>
      <c r="E76" s="2" t="s">
        <v>147</v>
      </c>
      <c r="F76" s="4" t="s">
        <v>420</v>
      </c>
      <c r="G76" s="5" t="str">
        <f t="shared" si="1"/>
        <v>Done</v>
      </c>
      <c r="H76" s="6">
        <v>46291</v>
      </c>
      <c r="I76" s="3"/>
      <c r="J76" s="21">
        <f t="shared" si="3"/>
        <v>0.37435897435897436</v>
      </c>
      <c r="K76" s="24">
        <f>COUNTIF($G$3:G76,"Done")</f>
        <v>73</v>
      </c>
    </row>
    <row r="77" spans="1:11" ht="20" customHeight="1">
      <c r="A77" s="2" t="s">
        <v>443</v>
      </c>
      <c r="B77" s="3" t="s">
        <v>444</v>
      </c>
      <c r="C77" s="3" t="s">
        <v>445</v>
      </c>
      <c r="D77" s="3"/>
      <c r="E77" s="2"/>
      <c r="F77" s="4"/>
      <c r="G77" s="5"/>
      <c r="H77" s="6" t="s">
        <v>446</v>
      </c>
      <c r="I77" s="3" t="s">
        <v>447</v>
      </c>
      <c r="J77" s="21"/>
      <c r="K77" s="24"/>
    </row>
    <row r="78" spans="1:11" ht="20" customHeight="1">
      <c r="A78" s="7">
        <v>74</v>
      </c>
      <c r="B78" s="8" t="s">
        <v>410</v>
      </c>
      <c r="C78" s="8" t="s">
        <v>148</v>
      </c>
      <c r="D78" s="8" t="s">
        <v>149</v>
      </c>
      <c r="E78" s="7" t="s">
        <v>150</v>
      </c>
      <c r="F78" s="4" t="s">
        <v>420</v>
      </c>
      <c r="G78" s="5" t="str">
        <f t="shared" ref="G78:G79" si="4">IF(H78&lt;&gt;"","Done","Pending")</f>
        <v>Done</v>
      </c>
      <c r="H78" s="6">
        <v>46296</v>
      </c>
      <c r="I78" s="8" t="s">
        <v>453</v>
      </c>
      <c r="J78" s="21">
        <f t="shared" si="3"/>
        <v>0.37948717948717947</v>
      </c>
      <c r="K78" s="24">
        <f>COUNTIF($G$3:G78,"Done")</f>
        <v>74</v>
      </c>
    </row>
    <row r="79" spans="1:11" ht="20" customHeight="1">
      <c r="A79" s="2">
        <v>75</v>
      </c>
      <c r="B79" s="3" t="s">
        <v>410</v>
      </c>
      <c r="C79" s="3" t="s">
        <v>148</v>
      </c>
      <c r="D79" s="3" t="s">
        <v>151</v>
      </c>
      <c r="E79" s="2" t="s">
        <v>152</v>
      </c>
      <c r="F79" s="10" t="s">
        <v>422</v>
      </c>
      <c r="G79" s="5" t="str">
        <f t="shared" si="4"/>
        <v>Done</v>
      </c>
      <c r="H79" s="6">
        <v>46297</v>
      </c>
      <c r="I79" s="3"/>
      <c r="J79" s="21">
        <f t="shared" si="3"/>
        <v>0.38461538461538464</v>
      </c>
      <c r="K79" s="24">
        <f>COUNTIF($G$3:G79,"Done")</f>
        <v>75</v>
      </c>
    </row>
    <row r="80" spans="1:11" ht="20" customHeight="1">
      <c r="A80" s="1"/>
      <c r="B80" s="38" t="s">
        <v>153</v>
      </c>
      <c r="C80" s="38"/>
      <c r="D80" s="1"/>
      <c r="E80" s="1"/>
      <c r="F80" s="1"/>
      <c r="G80" s="1"/>
      <c r="H80" s="1"/>
      <c r="I80" s="1"/>
      <c r="K80" s="24">
        <f>COUNTIF($G$3:G80,"Done")</f>
        <v>75</v>
      </c>
    </row>
    <row r="81" spans="1:11" ht="20" customHeight="1">
      <c r="A81" s="2">
        <v>76</v>
      </c>
      <c r="B81" s="3" t="s">
        <v>153</v>
      </c>
      <c r="C81" s="3"/>
      <c r="D81" s="3" t="s">
        <v>154</v>
      </c>
      <c r="E81" s="2" t="s">
        <v>155</v>
      </c>
      <c r="F81" s="4" t="s">
        <v>420</v>
      </c>
      <c r="G81" s="5" t="str">
        <f t="shared" ref="G81:G88" si="5">IF(H81&lt;&gt;"","Done","Pending")</f>
        <v>Done</v>
      </c>
      <c r="H81" s="6">
        <v>46299</v>
      </c>
      <c r="I81" s="3"/>
      <c r="J81" s="21">
        <f t="shared" si="3"/>
        <v>0.38974358974358975</v>
      </c>
      <c r="K81" s="24">
        <f>COUNTIF($G$3:G81,"Done")</f>
        <v>76</v>
      </c>
    </row>
    <row r="82" spans="1:11" ht="20" customHeight="1">
      <c r="A82" s="2">
        <v>77</v>
      </c>
      <c r="B82" s="3" t="s">
        <v>153</v>
      </c>
      <c r="C82" s="3"/>
      <c r="D82" s="3" t="s">
        <v>156</v>
      </c>
      <c r="E82" s="2" t="s">
        <v>157</v>
      </c>
      <c r="F82" s="9" t="s">
        <v>421</v>
      </c>
      <c r="G82" s="5" t="str">
        <f t="shared" si="5"/>
        <v>Done</v>
      </c>
      <c r="H82" s="6">
        <v>46300</v>
      </c>
      <c r="I82" s="3"/>
      <c r="J82" s="21">
        <f t="shared" si="3"/>
        <v>0.39487179487179486</v>
      </c>
      <c r="K82" s="24">
        <f>COUNTIF($G$3:G82,"Done")</f>
        <v>77</v>
      </c>
    </row>
    <row r="83" spans="1:11" ht="20" customHeight="1">
      <c r="A83" s="7">
        <v>78</v>
      </c>
      <c r="B83" s="8" t="s">
        <v>153</v>
      </c>
      <c r="C83" s="8"/>
      <c r="D83" s="8" t="s">
        <v>158</v>
      </c>
      <c r="E83" s="7" t="s">
        <v>159</v>
      </c>
      <c r="F83" s="10" t="s">
        <v>422</v>
      </c>
      <c r="G83" s="5" t="str">
        <f t="shared" si="5"/>
        <v>Done</v>
      </c>
      <c r="H83" s="6">
        <v>46301</v>
      </c>
      <c r="I83" s="8"/>
      <c r="J83" s="21">
        <f t="shared" si="3"/>
        <v>0.4</v>
      </c>
      <c r="K83" s="24">
        <f>COUNTIF($G$3:G83,"Done")</f>
        <v>78</v>
      </c>
    </row>
    <row r="84" spans="1:11" ht="20" customHeight="1">
      <c r="A84" s="2">
        <v>79</v>
      </c>
      <c r="B84" s="3" t="s">
        <v>153</v>
      </c>
      <c r="C84" s="3"/>
      <c r="D84" s="3" t="s">
        <v>160</v>
      </c>
      <c r="E84" s="2" t="s">
        <v>161</v>
      </c>
      <c r="F84" s="4" t="s">
        <v>420</v>
      </c>
      <c r="G84" s="5" t="str">
        <f t="shared" si="5"/>
        <v>Done</v>
      </c>
      <c r="H84" s="6">
        <v>46301</v>
      </c>
      <c r="I84" s="3"/>
      <c r="J84" s="21">
        <f t="shared" si="3"/>
        <v>0.40512820512820513</v>
      </c>
      <c r="K84" s="24">
        <f>COUNTIF($G$3:G84,"Done")</f>
        <v>79</v>
      </c>
    </row>
    <row r="85" spans="1:11" ht="20" customHeight="1">
      <c r="A85" s="7">
        <v>80</v>
      </c>
      <c r="B85" s="8" t="s">
        <v>153</v>
      </c>
      <c r="C85" s="8"/>
      <c r="D85" s="8" t="s">
        <v>162</v>
      </c>
      <c r="E85" s="7" t="s">
        <v>163</v>
      </c>
      <c r="F85" s="9" t="s">
        <v>421</v>
      </c>
      <c r="G85" s="5" t="str">
        <f t="shared" si="5"/>
        <v>Done</v>
      </c>
      <c r="H85" s="6">
        <v>46305</v>
      </c>
      <c r="I85" s="8"/>
      <c r="J85" s="21">
        <f t="shared" si="3"/>
        <v>0.41025641025641024</v>
      </c>
      <c r="K85" s="24">
        <f>COUNTIF($G$3:G85,"Done")</f>
        <v>80</v>
      </c>
    </row>
    <row r="86" spans="1:11" ht="20" customHeight="1">
      <c r="A86" s="2">
        <v>81</v>
      </c>
      <c r="B86" s="3" t="s">
        <v>153</v>
      </c>
      <c r="C86" s="3"/>
      <c r="D86" s="3" t="s">
        <v>164</v>
      </c>
      <c r="E86" s="2" t="s">
        <v>165</v>
      </c>
      <c r="F86" s="10" t="s">
        <v>422</v>
      </c>
      <c r="G86" s="5" t="str">
        <f t="shared" si="5"/>
        <v>Done</v>
      </c>
      <c r="H86" s="6">
        <v>46305</v>
      </c>
      <c r="I86" s="3"/>
      <c r="J86" s="21">
        <f t="shared" si="3"/>
        <v>0.41538461538461541</v>
      </c>
      <c r="K86" s="24">
        <f>COUNTIF($G$3:G86,"Done")</f>
        <v>81</v>
      </c>
    </row>
    <row r="87" spans="1:11" ht="20" customHeight="1">
      <c r="A87" s="7">
        <v>82</v>
      </c>
      <c r="B87" s="8" t="s">
        <v>153</v>
      </c>
      <c r="C87" s="8"/>
      <c r="D87" s="8" t="s">
        <v>166</v>
      </c>
      <c r="E87" s="7" t="s">
        <v>167</v>
      </c>
      <c r="F87" s="9" t="s">
        <v>421</v>
      </c>
      <c r="G87" s="5" t="str">
        <f t="shared" si="5"/>
        <v>Pending</v>
      </c>
      <c r="H87" s="6"/>
      <c r="I87" s="8"/>
      <c r="J87" s="21" t="str">
        <f t="shared" si="3"/>
        <v/>
      </c>
      <c r="K87" s="24">
        <f>COUNTIF($G$3:G87,"Done")</f>
        <v>81</v>
      </c>
    </row>
    <row r="88" spans="1:11" ht="20" customHeight="1">
      <c r="A88" s="2">
        <v>83</v>
      </c>
      <c r="B88" s="3" t="s">
        <v>153</v>
      </c>
      <c r="C88" s="3"/>
      <c r="D88" s="3" t="s">
        <v>168</v>
      </c>
      <c r="E88" s="2" t="s">
        <v>169</v>
      </c>
      <c r="F88" s="10" t="s">
        <v>422</v>
      </c>
      <c r="G88" s="5" t="str">
        <f t="shared" si="5"/>
        <v>Pending</v>
      </c>
      <c r="H88" s="6"/>
      <c r="I88" s="3"/>
      <c r="J88" s="21" t="str">
        <f t="shared" si="3"/>
        <v/>
      </c>
      <c r="K88" s="24">
        <f>COUNTIF($G$3:G88,"Done")</f>
        <v>81</v>
      </c>
    </row>
    <row r="89" spans="1:11" ht="20" customHeight="1">
      <c r="A89" s="1"/>
      <c r="B89" s="38" t="s">
        <v>170</v>
      </c>
      <c r="C89" s="38"/>
      <c r="D89" s="1"/>
      <c r="E89" s="1"/>
      <c r="F89" s="1"/>
      <c r="G89" s="1"/>
      <c r="H89" s="1"/>
      <c r="I89" s="1"/>
      <c r="K89" s="24">
        <f>COUNTIF($G$3:G89,"Done")</f>
        <v>81</v>
      </c>
    </row>
    <row r="90" spans="1:11" ht="20" customHeight="1">
      <c r="A90" s="7">
        <v>84</v>
      </c>
      <c r="B90" s="8" t="s">
        <v>170</v>
      </c>
      <c r="C90" s="8"/>
      <c r="D90" s="8" t="s">
        <v>171</v>
      </c>
      <c r="E90" s="7" t="s">
        <v>172</v>
      </c>
      <c r="F90" s="4" t="s">
        <v>420</v>
      </c>
      <c r="G90" s="5" t="str">
        <f t="shared" ref="G90:G93" si="6">IF(H90&lt;&gt;"","Done","Pending")</f>
        <v>Pending</v>
      </c>
      <c r="H90" s="6"/>
      <c r="I90" s="8"/>
      <c r="J90" s="21" t="str">
        <f t="shared" si="3"/>
        <v/>
      </c>
      <c r="K90" s="24">
        <f>COUNTIF($G$3:G90,"Done")</f>
        <v>81</v>
      </c>
    </row>
    <row r="91" spans="1:11" ht="20" customHeight="1">
      <c r="A91" s="2">
        <v>85</v>
      </c>
      <c r="B91" s="3" t="s">
        <v>170</v>
      </c>
      <c r="C91" s="3"/>
      <c r="D91" s="3" t="s">
        <v>173</v>
      </c>
      <c r="E91" s="2" t="s">
        <v>174</v>
      </c>
      <c r="F91" s="4" t="s">
        <v>420</v>
      </c>
      <c r="G91" s="5" t="str">
        <f t="shared" si="6"/>
        <v>Pending</v>
      </c>
      <c r="H91" s="6"/>
      <c r="I91" s="3"/>
      <c r="J91" s="21" t="str">
        <f t="shared" si="3"/>
        <v/>
      </c>
      <c r="K91" s="24">
        <f>COUNTIF($G$3:G91,"Done")</f>
        <v>81</v>
      </c>
    </row>
    <row r="92" spans="1:11" ht="20" customHeight="1">
      <c r="A92" s="7">
        <v>86</v>
      </c>
      <c r="B92" s="8" t="s">
        <v>170</v>
      </c>
      <c r="C92" s="8"/>
      <c r="D92" s="8" t="s">
        <v>175</v>
      </c>
      <c r="E92" s="7" t="s">
        <v>176</v>
      </c>
      <c r="F92" s="4" t="s">
        <v>420</v>
      </c>
      <c r="G92" s="5" t="str">
        <f t="shared" si="6"/>
        <v>Pending</v>
      </c>
      <c r="H92" s="6"/>
      <c r="I92" s="8"/>
      <c r="J92" s="21" t="str">
        <f t="shared" ref="J92:J155" si="7">IF(G92="Pending","",K92/195)</f>
        <v/>
      </c>
      <c r="K92" s="24">
        <f>COUNTIF($G$3:G92,"Done")</f>
        <v>81</v>
      </c>
    </row>
    <row r="93" spans="1:11" ht="20" customHeight="1">
      <c r="A93" s="2">
        <v>87</v>
      </c>
      <c r="B93" s="3" t="s">
        <v>170</v>
      </c>
      <c r="C93" s="3"/>
      <c r="D93" s="3" t="s">
        <v>177</v>
      </c>
      <c r="E93" s="2" t="s">
        <v>178</v>
      </c>
      <c r="F93" s="4" t="s">
        <v>420</v>
      </c>
      <c r="G93" s="5" t="str">
        <f t="shared" si="6"/>
        <v>Pending</v>
      </c>
      <c r="H93" s="6"/>
      <c r="I93" s="3"/>
      <c r="J93" s="21" t="str">
        <f t="shared" si="7"/>
        <v/>
      </c>
      <c r="K93" s="24">
        <f>COUNTIF($G$3:G93,"Done")</f>
        <v>81</v>
      </c>
    </row>
    <row r="94" spans="1:11" ht="20" customHeight="1">
      <c r="A94" s="1"/>
      <c r="B94" s="38" t="s">
        <v>179</v>
      </c>
      <c r="C94" s="38"/>
      <c r="D94" s="1"/>
      <c r="E94" s="1"/>
      <c r="F94" s="1"/>
      <c r="G94" s="1"/>
      <c r="H94" s="1"/>
      <c r="I94" s="1"/>
      <c r="K94" s="24">
        <f>COUNTIF($G$3:G94,"Done")</f>
        <v>81</v>
      </c>
    </row>
    <row r="95" spans="1:11" ht="20" customHeight="1">
      <c r="A95" s="7">
        <v>88</v>
      </c>
      <c r="B95" s="8" t="s">
        <v>179</v>
      </c>
      <c r="C95" s="8"/>
      <c r="D95" s="8" t="s">
        <v>180</v>
      </c>
      <c r="E95" s="7" t="s">
        <v>181</v>
      </c>
      <c r="F95" s="4" t="s">
        <v>420</v>
      </c>
      <c r="G95" s="5" t="str">
        <f t="shared" ref="G95:G119" si="8">IF(H95&lt;&gt;"","Done","Pending")</f>
        <v>Pending</v>
      </c>
      <c r="H95" s="6"/>
      <c r="I95" s="8"/>
      <c r="J95" s="21" t="str">
        <f t="shared" si="7"/>
        <v/>
      </c>
      <c r="K95" s="24">
        <f>COUNTIF($G$3:G95,"Done")</f>
        <v>81</v>
      </c>
    </row>
    <row r="96" spans="1:11" ht="20" customHeight="1">
      <c r="A96" s="2">
        <v>89</v>
      </c>
      <c r="B96" s="3" t="s">
        <v>179</v>
      </c>
      <c r="C96" s="3"/>
      <c r="D96" s="3" t="s">
        <v>182</v>
      </c>
      <c r="E96" s="2" t="s">
        <v>183</v>
      </c>
      <c r="F96" s="4" t="s">
        <v>420</v>
      </c>
      <c r="G96" s="5" t="str">
        <f t="shared" si="8"/>
        <v>Pending</v>
      </c>
      <c r="H96" s="6"/>
      <c r="I96" s="3"/>
      <c r="J96" s="21" t="str">
        <f t="shared" si="7"/>
        <v/>
      </c>
      <c r="K96" s="24">
        <f>COUNTIF($G$3:G96,"Done")</f>
        <v>81</v>
      </c>
    </row>
    <row r="97" spans="1:11" ht="20" customHeight="1">
      <c r="A97" s="7">
        <v>90</v>
      </c>
      <c r="B97" s="8" t="s">
        <v>179</v>
      </c>
      <c r="C97" s="8"/>
      <c r="D97" s="8" t="s">
        <v>184</v>
      </c>
      <c r="E97" s="7" t="s">
        <v>185</v>
      </c>
      <c r="F97" s="4" t="s">
        <v>420</v>
      </c>
      <c r="G97" s="5" t="str">
        <f t="shared" si="8"/>
        <v>Pending</v>
      </c>
      <c r="H97" s="6"/>
      <c r="I97" s="8"/>
      <c r="J97" s="21" t="str">
        <f t="shared" si="7"/>
        <v/>
      </c>
      <c r="K97" s="24">
        <f>COUNTIF($G$3:G97,"Done")</f>
        <v>81</v>
      </c>
    </row>
    <row r="98" spans="1:11" ht="20" customHeight="1">
      <c r="A98" s="2">
        <v>91</v>
      </c>
      <c r="B98" s="3" t="s">
        <v>179</v>
      </c>
      <c r="C98" s="3"/>
      <c r="D98" s="3" t="s">
        <v>186</v>
      </c>
      <c r="E98" s="2" t="s">
        <v>187</v>
      </c>
      <c r="F98" s="4" t="s">
        <v>420</v>
      </c>
      <c r="G98" s="5" t="str">
        <f t="shared" si="8"/>
        <v>Pending</v>
      </c>
      <c r="H98" s="6"/>
      <c r="I98" s="3"/>
      <c r="J98" s="21" t="str">
        <f t="shared" si="7"/>
        <v/>
      </c>
      <c r="K98" s="24">
        <f>COUNTIF($G$3:G98,"Done")</f>
        <v>81</v>
      </c>
    </row>
    <row r="99" spans="1:11" ht="20" customHeight="1">
      <c r="A99" s="7">
        <v>92</v>
      </c>
      <c r="B99" s="8" t="s">
        <v>179</v>
      </c>
      <c r="C99" s="8"/>
      <c r="D99" s="8" t="s">
        <v>188</v>
      </c>
      <c r="E99" s="7" t="s">
        <v>189</v>
      </c>
      <c r="F99" s="9" t="s">
        <v>421</v>
      </c>
      <c r="G99" s="5" t="str">
        <f t="shared" si="8"/>
        <v>Pending</v>
      </c>
      <c r="H99" s="6"/>
      <c r="I99" s="8"/>
      <c r="J99" s="21" t="str">
        <f t="shared" si="7"/>
        <v/>
      </c>
      <c r="K99" s="24">
        <f>COUNTIF($G$3:G99,"Done")</f>
        <v>81</v>
      </c>
    </row>
    <row r="100" spans="1:11" ht="20" customHeight="1">
      <c r="A100" s="2">
        <v>93</v>
      </c>
      <c r="B100" s="3" t="s">
        <v>179</v>
      </c>
      <c r="C100" s="3"/>
      <c r="D100" s="3" t="s">
        <v>190</v>
      </c>
      <c r="E100" s="2" t="s">
        <v>191</v>
      </c>
      <c r="F100" s="4" t="s">
        <v>420</v>
      </c>
      <c r="G100" s="5" t="str">
        <f t="shared" si="8"/>
        <v>Pending</v>
      </c>
      <c r="H100" s="6"/>
      <c r="I100" s="3"/>
      <c r="J100" s="21" t="str">
        <f t="shared" si="7"/>
        <v/>
      </c>
      <c r="K100" s="24">
        <f>COUNTIF($G$3:G100,"Done")</f>
        <v>81</v>
      </c>
    </row>
    <row r="101" spans="1:11" ht="20" customHeight="1">
      <c r="A101" s="7">
        <v>94</v>
      </c>
      <c r="B101" s="8" t="s">
        <v>179</v>
      </c>
      <c r="C101" s="8"/>
      <c r="D101" s="8" t="s">
        <v>192</v>
      </c>
      <c r="E101" s="7" t="s">
        <v>193</v>
      </c>
      <c r="F101" s="4" t="s">
        <v>420</v>
      </c>
      <c r="G101" s="5" t="str">
        <f t="shared" si="8"/>
        <v>Pending</v>
      </c>
      <c r="H101" s="6"/>
      <c r="I101" s="8"/>
      <c r="J101" s="21" t="str">
        <f t="shared" si="7"/>
        <v/>
      </c>
      <c r="K101" s="24">
        <f>COUNTIF($G$3:G101,"Done")</f>
        <v>81</v>
      </c>
    </row>
    <row r="102" spans="1:11" ht="20" customHeight="1">
      <c r="A102" s="2">
        <v>95</v>
      </c>
      <c r="B102" s="3" t="s">
        <v>179</v>
      </c>
      <c r="C102" s="3"/>
      <c r="D102" s="3" t="s">
        <v>194</v>
      </c>
      <c r="E102" s="2" t="s">
        <v>195</v>
      </c>
      <c r="F102" s="9" t="s">
        <v>421</v>
      </c>
      <c r="G102" s="5" t="str">
        <f t="shared" si="8"/>
        <v>Pending</v>
      </c>
      <c r="H102" s="6"/>
      <c r="I102" s="3"/>
      <c r="J102" s="21" t="str">
        <f t="shared" si="7"/>
        <v/>
      </c>
      <c r="K102" s="24">
        <f>COUNTIF($G$3:G102,"Done")</f>
        <v>81</v>
      </c>
    </row>
    <row r="103" spans="1:11" ht="20" customHeight="1">
      <c r="A103" s="7">
        <v>96</v>
      </c>
      <c r="B103" s="8" t="s">
        <v>179</v>
      </c>
      <c r="C103" s="8"/>
      <c r="D103" s="8" t="s">
        <v>196</v>
      </c>
      <c r="E103" s="7" t="s">
        <v>197</v>
      </c>
      <c r="F103" s="4" t="s">
        <v>420</v>
      </c>
      <c r="G103" s="5" t="str">
        <f t="shared" si="8"/>
        <v>Pending</v>
      </c>
      <c r="H103" s="6"/>
      <c r="I103" s="8"/>
      <c r="J103" s="21" t="str">
        <f t="shared" si="7"/>
        <v/>
      </c>
      <c r="K103" s="24">
        <f>COUNTIF($G$3:G103,"Done")</f>
        <v>81</v>
      </c>
    </row>
    <row r="104" spans="1:11" ht="20" customHeight="1">
      <c r="A104" s="2">
        <v>97</v>
      </c>
      <c r="B104" s="3" t="s">
        <v>179</v>
      </c>
      <c r="C104" s="3"/>
      <c r="D104" s="3" t="s">
        <v>198</v>
      </c>
      <c r="E104" s="2" t="s">
        <v>57</v>
      </c>
      <c r="F104" s="4" t="s">
        <v>420</v>
      </c>
      <c r="G104" s="5" t="str">
        <f t="shared" si="8"/>
        <v>Pending</v>
      </c>
      <c r="H104" s="6"/>
      <c r="I104" s="3"/>
      <c r="J104" s="21" t="str">
        <f t="shared" si="7"/>
        <v/>
      </c>
      <c r="K104" s="24">
        <f>COUNTIF($G$3:G104,"Done")</f>
        <v>81</v>
      </c>
    </row>
    <row r="105" spans="1:11" ht="20" customHeight="1">
      <c r="A105" s="7">
        <v>98</v>
      </c>
      <c r="B105" s="8" t="s">
        <v>179</v>
      </c>
      <c r="C105" s="8"/>
      <c r="D105" s="8" t="s">
        <v>199</v>
      </c>
      <c r="E105" s="7" t="s">
        <v>125</v>
      </c>
      <c r="F105" s="9" t="s">
        <v>421</v>
      </c>
      <c r="G105" s="5" t="str">
        <f t="shared" si="8"/>
        <v>Pending</v>
      </c>
      <c r="H105" s="6"/>
      <c r="I105" s="8"/>
      <c r="J105" s="21" t="str">
        <f t="shared" si="7"/>
        <v/>
      </c>
      <c r="K105" s="24">
        <f>COUNTIF($G$3:G105,"Done")</f>
        <v>81</v>
      </c>
    </row>
    <row r="106" spans="1:11" ht="20" customHeight="1">
      <c r="A106" s="2">
        <v>99</v>
      </c>
      <c r="B106" s="3" t="s">
        <v>179</v>
      </c>
      <c r="C106" s="3"/>
      <c r="D106" s="3" t="s">
        <v>200</v>
      </c>
      <c r="E106" s="2" t="s">
        <v>201</v>
      </c>
      <c r="F106" s="4" t="s">
        <v>420</v>
      </c>
      <c r="G106" s="5" t="str">
        <f t="shared" si="8"/>
        <v>Pending</v>
      </c>
      <c r="H106" s="6"/>
      <c r="I106" s="3"/>
      <c r="J106" s="21" t="str">
        <f t="shared" si="7"/>
        <v/>
      </c>
      <c r="K106" s="24">
        <f>COUNTIF($G$3:G106,"Done")</f>
        <v>81</v>
      </c>
    </row>
    <row r="107" spans="1:11" ht="20" customHeight="1">
      <c r="A107" s="7">
        <v>100</v>
      </c>
      <c r="B107" s="8" t="s">
        <v>179</v>
      </c>
      <c r="C107" s="8"/>
      <c r="D107" s="8" t="s">
        <v>50</v>
      </c>
      <c r="E107" s="7" t="s">
        <v>202</v>
      </c>
      <c r="F107" s="9" t="s">
        <v>421</v>
      </c>
      <c r="G107" s="5" t="str">
        <f t="shared" si="8"/>
        <v>Pending</v>
      </c>
      <c r="H107" s="6"/>
      <c r="I107" s="8"/>
      <c r="J107" s="21" t="str">
        <f t="shared" si="7"/>
        <v/>
      </c>
      <c r="K107" s="24">
        <f>COUNTIF($G$3:G107,"Done")</f>
        <v>81</v>
      </c>
    </row>
    <row r="108" spans="1:11" ht="20" customHeight="1">
      <c r="A108" s="2">
        <v>101</v>
      </c>
      <c r="B108" s="3" t="s">
        <v>179</v>
      </c>
      <c r="C108" s="3"/>
      <c r="D108" s="3" t="s">
        <v>203</v>
      </c>
      <c r="E108" s="2" t="s">
        <v>134</v>
      </c>
      <c r="F108" s="9" t="s">
        <v>421</v>
      </c>
      <c r="G108" s="5" t="str">
        <f t="shared" si="8"/>
        <v>Pending</v>
      </c>
      <c r="H108" s="6"/>
      <c r="I108" s="3"/>
      <c r="J108" s="21" t="str">
        <f t="shared" si="7"/>
        <v/>
      </c>
      <c r="K108" s="24">
        <f>COUNTIF($G$3:G108,"Done")</f>
        <v>81</v>
      </c>
    </row>
    <row r="109" spans="1:11" ht="20" customHeight="1">
      <c r="A109" s="7">
        <v>102</v>
      </c>
      <c r="B109" s="8" t="s">
        <v>179</v>
      </c>
      <c r="C109" s="8"/>
      <c r="D109" s="8" t="s">
        <v>204</v>
      </c>
      <c r="E109" s="7" t="s">
        <v>205</v>
      </c>
      <c r="F109" s="9" t="s">
        <v>421</v>
      </c>
      <c r="G109" s="5" t="str">
        <f t="shared" si="8"/>
        <v>Pending</v>
      </c>
      <c r="H109" s="6"/>
      <c r="I109" s="8"/>
      <c r="J109" s="21" t="str">
        <f t="shared" si="7"/>
        <v/>
      </c>
      <c r="K109" s="24">
        <f>COUNTIF($G$3:G109,"Done")</f>
        <v>81</v>
      </c>
    </row>
    <row r="110" spans="1:11" ht="20" customHeight="1">
      <c r="A110" s="2">
        <v>103</v>
      </c>
      <c r="B110" s="3" t="s">
        <v>179</v>
      </c>
      <c r="C110" s="3"/>
      <c r="D110" s="3" t="s">
        <v>206</v>
      </c>
      <c r="E110" s="2" t="s">
        <v>207</v>
      </c>
      <c r="F110" s="4" t="s">
        <v>420</v>
      </c>
      <c r="G110" s="5" t="str">
        <f t="shared" si="8"/>
        <v>Pending</v>
      </c>
      <c r="H110" s="6"/>
      <c r="I110" s="3"/>
      <c r="J110" s="21" t="str">
        <f t="shared" si="7"/>
        <v/>
      </c>
      <c r="K110" s="24">
        <f>COUNTIF($G$3:G110,"Done")</f>
        <v>81</v>
      </c>
    </row>
    <row r="111" spans="1:11" ht="20" customHeight="1">
      <c r="A111" s="7">
        <v>104</v>
      </c>
      <c r="B111" s="8" t="s">
        <v>179</v>
      </c>
      <c r="C111" s="8"/>
      <c r="D111" s="8" t="s">
        <v>208</v>
      </c>
      <c r="E111" s="7" t="s">
        <v>209</v>
      </c>
      <c r="F111" s="9" t="s">
        <v>421</v>
      </c>
      <c r="G111" s="5" t="str">
        <f t="shared" si="8"/>
        <v>Pending</v>
      </c>
      <c r="H111" s="6"/>
      <c r="I111" s="8"/>
      <c r="J111" s="21" t="str">
        <f t="shared" si="7"/>
        <v/>
      </c>
      <c r="K111" s="24">
        <f>COUNTIF($G$3:G111,"Done")</f>
        <v>81</v>
      </c>
    </row>
    <row r="112" spans="1:11" ht="20" customHeight="1">
      <c r="A112" s="2">
        <v>105</v>
      </c>
      <c r="B112" s="3" t="s">
        <v>179</v>
      </c>
      <c r="C112" s="3"/>
      <c r="D112" s="3" t="s">
        <v>210</v>
      </c>
      <c r="E112" s="2" t="s">
        <v>10</v>
      </c>
      <c r="F112" s="4" t="s">
        <v>420</v>
      </c>
      <c r="G112" s="5" t="str">
        <f t="shared" si="8"/>
        <v>Pending</v>
      </c>
      <c r="H112" s="6"/>
      <c r="I112" s="3"/>
      <c r="J112" s="21" t="str">
        <f t="shared" si="7"/>
        <v/>
      </c>
      <c r="K112" s="24">
        <f>COUNTIF($G$3:G112,"Done")</f>
        <v>81</v>
      </c>
    </row>
    <row r="113" spans="1:11" ht="20" customHeight="1">
      <c r="A113" s="7">
        <v>106</v>
      </c>
      <c r="B113" s="8" t="s">
        <v>179</v>
      </c>
      <c r="C113" s="8"/>
      <c r="D113" s="8" t="s">
        <v>211</v>
      </c>
      <c r="E113" s="7" t="s">
        <v>70</v>
      </c>
      <c r="F113" s="4" t="s">
        <v>420</v>
      </c>
      <c r="G113" s="5" t="str">
        <f t="shared" si="8"/>
        <v>Pending</v>
      </c>
      <c r="H113" s="6"/>
      <c r="I113" s="8"/>
      <c r="J113" s="21" t="str">
        <f t="shared" si="7"/>
        <v/>
      </c>
      <c r="K113" s="24">
        <f>COUNTIF($G$3:G113,"Done")</f>
        <v>81</v>
      </c>
    </row>
    <row r="114" spans="1:11" ht="20" customHeight="1">
      <c r="A114" s="2">
        <v>107</v>
      </c>
      <c r="B114" s="3" t="s">
        <v>179</v>
      </c>
      <c r="C114" s="3"/>
      <c r="D114" s="3" t="s">
        <v>212</v>
      </c>
      <c r="E114" s="2" t="s">
        <v>213</v>
      </c>
      <c r="F114" s="4" t="s">
        <v>420</v>
      </c>
      <c r="G114" s="5" t="str">
        <f t="shared" si="8"/>
        <v>Pending</v>
      </c>
      <c r="H114" s="6"/>
      <c r="I114" s="3"/>
      <c r="J114" s="21" t="str">
        <f t="shared" si="7"/>
        <v/>
      </c>
      <c r="K114" s="24">
        <f>COUNTIF($G$3:G114,"Done")</f>
        <v>81</v>
      </c>
    </row>
    <row r="115" spans="1:11" ht="20" customHeight="1">
      <c r="A115" s="7">
        <v>108</v>
      </c>
      <c r="B115" s="8" t="s">
        <v>179</v>
      </c>
      <c r="C115" s="8"/>
      <c r="D115" s="8" t="s">
        <v>214</v>
      </c>
      <c r="E115" s="7" t="s">
        <v>215</v>
      </c>
      <c r="F115" s="4" t="s">
        <v>420</v>
      </c>
      <c r="G115" s="5" t="str">
        <f t="shared" si="8"/>
        <v>Pending</v>
      </c>
      <c r="H115" s="6"/>
      <c r="I115" s="8"/>
      <c r="J115" s="21" t="str">
        <f t="shared" si="7"/>
        <v/>
      </c>
      <c r="K115" s="24">
        <f>COUNTIF($G$3:G115,"Done")</f>
        <v>81</v>
      </c>
    </row>
    <row r="116" spans="1:11" ht="20" customHeight="1">
      <c r="A116" s="2">
        <v>109</v>
      </c>
      <c r="B116" s="3" t="s">
        <v>179</v>
      </c>
      <c r="C116" s="3"/>
      <c r="D116" s="3" t="s">
        <v>216</v>
      </c>
      <c r="E116" s="2" t="s">
        <v>217</v>
      </c>
      <c r="F116" s="9" t="s">
        <v>421</v>
      </c>
      <c r="G116" s="5" t="str">
        <f t="shared" si="8"/>
        <v>Pending</v>
      </c>
      <c r="H116" s="6"/>
      <c r="I116" s="3"/>
      <c r="J116" s="21" t="str">
        <f t="shared" si="7"/>
        <v/>
      </c>
      <c r="K116" s="24">
        <f>COUNTIF($G$3:G116,"Done")</f>
        <v>81</v>
      </c>
    </row>
    <row r="117" spans="1:11" ht="20" customHeight="1">
      <c r="A117" s="7">
        <v>110</v>
      </c>
      <c r="B117" s="8" t="s">
        <v>179</v>
      </c>
      <c r="C117" s="8"/>
      <c r="D117" s="8" t="s">
        <v>218</v>
      </c>
      <c r="E117" s="7" t="s">
        <v>219</v>
      </c>
      <c r="F117" s="9" t="s">
        <v>421</v>
      </c>
      <c r="G117" s="5" t="str">
        <f t="shared" si="8"/>
        <v>Pending</v>
      </c>
      <c r="H117" s="6"/>
      <c r="I117" s="8"/>
      <c r="J117" s="21" t="str">
        <f t="shared" si="7"/>
        <v/>
      </c>
      <c r="K117" s="24">
        <f>COUNTIF($G$3:G117,"Done")</f>
        <v>81</v>
      </c>
    </row>
    <row r="118" spans="1:11" ht="20" customHeight="1">
      <c r="A118" s="2">
        <v>111</v>
      </c>
      <c r="B118" s="3" t="s">
        <v>179</v>
      </c>
      <c r="C118" s="3"/>
      <c r="D118" s="3" t="s">
        <v>220</v>
      </c>
      <c r="E118" s="2" t="s">
        <v>221</v>
      </c>
      <c r="F118" s="9" t="s">
        <v>421</v>
      </c>
      <c r="G118" s="5" t="str">
        <f t="shared" si="8"/>
        <v>Pending</v>
      </c>
      <c r="H118" s="6"/>
      <c r="I118" s="3"/>
      <c r="J118" s="21" t="str">
        <f t="shared" si="7"/>
        <v/>
      </c>
      <c r="K118" s="24">
        <f>COUNTIF($G$3:G118,"Done")</f>
        <v>81</v>
      </c>
    </row>
    <row r="119" spans="1:11" ht="20" customHeight="1">
      <c r="A119" s="7">
        <v>112</v>
      </c>
      <c r="B119" s="8" t="s">
        <v>179</v>
      </c>
      <c r="C119" s="8"/>
      <c r="D119" s="8" t="s">
        <v>222</v>
      </c>
      <c r="E119" s="7" t="s">
        <v>76</v>
      </c>
      <c r="F119" s="4" t="s">
        <v>420</v>
      </c>
      <c r="G119" s="5" t="str">
        <f t="shared" si="8"/>
        <v>Pending</v>
      </c>
      <c r="H119" s="6"/>
      <c r="I119" s="8"/>
      <c r="J119" s="21" t="str">
        <f t="shared" si="7"/>
        <v/>
      </c>
      <c r="K119" s="24">
        <f>COUNTIF($G$3:G119,"Done")</f>
        <v>81</v>
      </c>
    </row>
    <row r="120" spans="1:11" ht="20" customHeight="1">
      <c r="A120" s="1"/>
      <c r="B120" s="38" t="s">
        <v>223</v>
      </c>
      <c r="C120" s="38"/>
      <c r="D120" s="1"/>
      <c r="E120" s="1"/>
      <c r="F120" s="1"/>
      <c r="G120" s="1"/>
      <c r="H120" s="1"/>
      <c r="I120" s="1"/>
      <c r="K120" s="24">
        <f>COUNTIF($G$3:G120,"Done")</f>
        <v>81</v>
      </c>
    </row>
    <row r="121" spans="1:11" ht="20" customHeight="1">
      <c r="A121" s="2">
        <v>113</v>
      </c>
      <c r="B121" s="3" t="s">
        <v>223</v>
      </c>
      <c r="C121" s="3"/>
      <c r="D121" s="3" t="s">
        <v>224</v>
      </c>
      <c r="E121" s="2" t="s">
        <v>225</v>
      </c>
      <c r="F121" s="4" t="s">
        <v>420</v>
      </c>
      <c r="G121" s="5" t="str">
        <f t="shared" ref="G121:G125" si="9">IF(H121&lt;&gt;"","Done","Pending")</f>
        <v>Pending</v>
      </c>
      <c r="H121" s="6"/>
      <c r="I121" s="3"/>
      <c r="J121" t="str">
        <f t="shared" si="7"/>
        <v/>
      </c>
      <c r="K121" s="24">
        <f>COUNTIF($G$3:G121,"Done")</f>
        <v>81</v>
      </c>
    </row>
    <row r="122" spans="1:11" ht="20" customHeight="1">
      <c r="A122" s="7">
        <v>114</v>
      </c>
      <c r="B122" s="8" t="s">
        <v>223</v>
      </c>
      <c r="C122" s="8"/>
      <c r="D122" s="8" t="s">
        <v>226</v>
      </c>
      <c r="E122" s="7" t="s">
        <v>227</v>
      </c>
      <c r="F122" s="10" t="s">
        <v>422</v>
      </c>
      <c r="G122" s="5" t="str">
        <f t="shared" si="9"/>
        <v>Pending</v>
      </c>
      <c r="H122" s="6"/>
      <c r="I122" s="8"/>
      <c r="J122" t="str">
        <f t="shared" si="7"/>
        <v/>
      </c>
      <c r="K122" s="24">
        <f>COUNTIF($G$3:G122,"Done")</f>
        <v>81</v>
      </c>
    </row>
    <row r="123" spans="1:11" ht="20" customHeight="1">
      <c r="A123" s="2">
        <v>115</v>
      </c>
      <c r="B123" s="3" t="s">
        <v>223</v>
      </c>
      <c r="C123" s="3"/>
      <c r="D123" s="3" t="s">
        <v>228</v>
      </c>
      <c r="E123" s="2" t="s">
        <v>229</v>
      </c>
      <c r="F123" s="10" t="s">
        <v>422</v>
      </c>
      <c r="G123" s="5" t="str">
        <f t="shared" si="9"/>
        <v>Pending</v>
      </c>
      <c r="H123" s="6"/>
      <c r="I123" s="3"/>
      <c r="J123" t="str">
        <f t="shared" si="7"/>
        <v/>
      </c>
      <c r="K123" s="24">
        <f>COUNTIF($G$3:G123,"Done")</f>
        <v>81</v>
      </c>
    </row>
    <row r="124" spans="1:11" ht="20" customHeight="1">
      <c r="A124" s="7">
        <v>116</v>
      </c>
      <c r="B124" s="8" t="s">
        <v>223</v>
      </c>
      <c r="C124" s="8"/>
      <c r="D124" s="8" t="s">
        <v>230</v>
      </c>
      <c r="E124" s="7" t="s">
        <v>231</v>
      </c>
      <c r="F124" s="10" t="s">
        <v>422</v>
      </c>
      <c r="G124" s="5" t="str">
        <f t="shared" si="9"/>
        <v>Pending</v>
      </c>
      <c r="H124" s="6"/>
      <c r="I124" s="8"/>
      <c r="J124" t="str">
        <f t="shared" si="7"/>
        <v/>
      </c>
      <c r="K124" s="24">
        <f>COUNTIF($G$3:G124,"Done")</f>
        <v>81</v>
      </c>
    </row>
    <row r="125" spans="1:11" ht="20" customHeight="1">
      <c r="A125" s="2">
        <v>117</v>
      </c>
      <c r="B125" s="3" t="s">
        <v>223</v>
      </c>
      <c r="C125" s="3"/>
      <c r="D125" s="3" t="s">
        <v>232</v>
      </c>
      <c r="E125" s="2" t="s">
        <v>233</v>
      </c>
      <c r="F125" s="10" t="s">
        <v>422</v>
      </c>
      <c r="G125" s="5" t="str">
        <f t="shared" si="9"/>
        <v>Pending</v>
      </c>
      <c r="H125" s="6"/>
      <c r="I125" s="3"/>
      <c r="J125" t="str">
        <f t="shared" si="7"/>
        <v/>
      </c>
      <c r="K125" s="24">
        <f>COUNTIF($G$3:G125,"Done")</f>
        <v>81</v>
      </c>
    </row>
    <row r="126" spans="1:11" ht="20" customHeight="1">
      <c r="A126" s="1"/>
      <c r="B126" s="38" t="s">
        <v>234</v>
      </c>
      <c r="C126" s="38"/>
      <c r="D126" s="1"/>
      <c r="E126" s="1"/>
      <c r="F126" s="1"/>
      <c r="G126" s="1"/>
      <c r="H126" s="1"/>
      <c r="I126" s="1"/>
      <c r="K126" s="24">
        <f>COUNTIF($G$3:G126,"Done")</f>
        <v>81</v>
      </c>
    </row>
    <row r="127" spans="1:11" ht="20" customHeight="1">
      <c r="A127" s="7">
        <v>118</v>
      </c>
      <c r="B127" s="8" t="s">
        <v>234</v>
      </c>
      <c r="C127" s="8"/>
      <c r="D127" s="8" t="s">
        <v>235</v>
      </c>
      <c r="E127" s="7" t="s">
        <v>57</v>
      </c>
      <c r="F127" s="4" t="s">
        <v>420</v>
      </c>
      <c r="G127" s="5" t="str">
        <f t="shared" ref="G127:G132" si="10">IF(H127&lt;&gt;"","Done","Pending")</f>
        <v>Pending</v>
      </c>
      <c r="H127" s="6"/>
      <c r="I127" s="8"/>
      <c r="J127" t="str">
        <f t="shared" si="7"/>
        <v/>
      </c>
      <c r="K127" s="24">
        <f>COUNTIF($G$3:G127,"Done")</f>
        <v>81</v>
      </c>
    </row>
    <row r="128" spans="1:11" ht="20" customHeight="1">
      <c r="A128" s="2">
        <v>119</v>
      </c>
      <c r="B128" s="3" t="s">
        <v>234</v>
      </c>
      <c r="C128" s="3"/>
      <c r="D128" s="3" t="s">
        <v>236</v>
      </c>
      <c r="E128" s="2" t="s">
        <v>237</v>
      </c>
      <c r="F128" s="10" t="s">
        <v>422</v>
      </c>
      <c r="G128" s="5" t="str">
        <f t="shared" si="10"/>
        <v>Pending</v>
      </c>
      <c r="H128" s="6"/>
      <c r="I128" s="3"/>
      <c r="J128" t="str">
        <f t="shared" si="7"/>
        <v/>
      </c>
      <c r="K128" s="24">
        <f>COUNTIF($G$3:G128,"Done")</f>
        <v>81</v>
      </c>
    </row>
    <row r="129" spans="1:11" ht="20" customHeight="1">
      <c r="A129" s="7">
        <v>120</v>
      </c>
      <c r="B129" s="8" t="s">
        <v>234</v>
      </c>
      <c r="C129" s="8"/>
      <c r="D129" s="8" t="s">
        <v>238</v>
      </c>
      <c r="E129" s="7" t="s">
        <v>239</v>
      </c>
      <c r="F129" s="10" t="s">
        <v>422</v>
      </c>
      <c r="G129" s="5" t="str">
        <f t="shared" si="10"/>
        <v>Pending</v>
      </c>
      <c r="H129" s="6"/>
      <c r="I129" s="8"/>
      <c r="J129" t="str">
        <f t="shared" si="7"/>
        <v/>
      </c>
      <c r="K129" s="24">
        <f>COUNTIF($G$3:G129,"Done")</f>
        <v>81</v>
      </c>
    </row>
    <row r="130" spans="1:11" ht="20" customHeight="1">
      <c r="A130" s="2">
        <v>121</v>
      </c>
      <c r="B130" s="3" t="s">
        <v>234</v>
      </c>
      <c r="C130" s="3"/>
      <c r="D130" s="3" t="s">
        <v>240</v>
      </c>
      <c r="E130" s="2" t="s">
        <v>241</v>
      </c>
      <c r="F130" s="10" t="s">
        <v>422</v>
      </c>
      <c r="G130" s="5" t="str">
        <f t="shared" si="10"/>
        <v>Pending</v>
      </c>
      <c r="H130" s="6"/>
      <c r="I130" s="3"/>
      <c r="J130" t="str">
        <f t="shared" si="7"/>
        <v/>
      </c>
      <c r="K130" s="24">
        <f>COUNTIF($G$3:G130,"Done")</f>
        <v>81</v>
      </c>
    </row>
    <row r="131" spans="1:11" ht="20" customHeight="1">
      <c r="A131" s="7">
        <v>122</v>
      </c>
      <c r="B131" s="8" t="s">
        <v>234</v>
      </c>
      <c r="C131" s="8"/>
      <c r="D131" s="8" t="s">
        <v>242</v>
      </c>
      <c r="E131" s="7" t="s">
        <v>167</v>
      </c>
      <c r="F131" s="9" t="s">
        <v>421</v>
      </c>
      <c r="G131" s="5" t="str">
        <f t="shared" si="10"/>
        <v>Pending</v>
      </c>
      <c r="H131" s="6"/>
      <c r="I131" s="8"/>
      <c r="J131" t="str">
        <f t="shared" si="7"/>
        <v/>
      </c>
      <c r="K131" s="24">
        <f>COUNTIF($G$3:G131,"Done")</f>
        <v>81</v>
      </c>
    </row>
    <row r="132" spans="1:11" ht="20" customHeight="1">
      <c r="A132" s="2">
        <v>123</v>
      </c>
      <c r="B132" s="3" t="s">
        <v>234</v>
      </c>
      <c r="C132" s="3"/>
      <c r="D132" s="3" t="s">
        <v>243</v>
      </c>
      <c r="E132" s="2" t="s">
        <v>244</v>
      </c>
      <c r="F132" s="10" t="s">
        <v>422</v>
      </c>
      <c r="G132" s="5" t="str">
        <f t="shared" si="10"/>
        <v>Pending</v>
      </c>
      <c r="H132" s="6"/>
      <c r="I132" s="3"/>
      <c r="J132" t="str">
        <f t="shared" si="7"/>
        <v/>
      </c>
      <c r="K132" s="24">
        <f>COUNTIF($G$3:G132,"Done")</f>
        <v>81</v>
      </c>
    </row>
    <row r="133" spans="1:11" ht="20" customHeight="1">
      <c r="A133" s="1"/>
      <c r="B133" s="38" t="s">
        <v>245</v>
      </c>
      <c r="C133" s="38"/>
      <c r="D133" s="1"/>
      <c r="E133" s="1"/>
      <c r="F133" s="1"/>
      <c r="G133" s="1"/>
      <c r="H133" s="1"/>
      <c r="I133" s="1"/>
      <c r="K133" s="24">
        <f>COUNTIF($G$3:G133,"Done")</f>
        <v>81</v>
      </c>
    </row>
    <row r="134" spans="1:11" ht="20" customHeight="1">
      <c r="A134" s="7">
        <v>124</v>
      </c>
      <c r="B134" s="8" t="s">
        <v>245</v>
      </c>
      <c r="C134" s="8"/>
      <c r="D134" s="8" t="s">
        <v>246</v>
      </c>
      <c r="E134" s="7" t="s">
        <v>247</v>
      </c>
      <c r="F134" s="4" t="s">
        <v>420</v>
      </c>
      <c r="G134" s="5" t="str">
        <f t="shared" ref="G134:G138" si="11">IF(H134&lt;&gt;"","Done","Pending")</f>
        <v>Pending</v>
      </c>
      <c r="H134" s="6"/>
      <c r="I134" s="8"/>
      <c r="J134" t="str">
        <f t="shared" si="7"/>
        <v/>
      </c>
      <c r="K134" s="24">
        <f>COUNTIF($G$3:G134,"Done")</f>
        <v>81</v>
      </c>
    </row>
    <row r="135" spans="1:11" ht="20" customHeight="1">
      <c r="A135" s="2">
        <v>125</v>
      </c>
      <c r="B135" s="3" t="s">
        <v>245</v>
      </c>
      <c r="C135" s="3"/>
      <c r="D135" s="3" t="s">
        <v>248</v>
      </c>
      <c r="E135" s="2" t="s">
        <v>249</v>
      </c>
      <c r="F135" s="4" t="s">
        <v>420</v>
      </c>
      <c r="G135" s="5" t="str">
        <f t="shared" si="11"/>
        <v>Pending</v>
      </c>
      <c r="H135" s="6"/>
      <c r="I135" s="3"/>
      <c r="J135" t="str">
        <f t="shared" si="7"/>
        <v/>
      </c>
      <c r="K135" s="24">
        <f>COUNTIF($G$3:G135,"Done")</f>
        <v>81</v>
      </c>
    </row>
    <row r="136" spans="1:11" ht="20" customHeight="1">
      <c r="A136" s="7">
        <v>126</v>
      </c>
      <c r="B136" s="8" t="s">
        <v>245</v>
      </c>
      <c r="C136" s="8"/>
      <c r="D136" s="8" t="s">
        <v>250</v>
      </c>
      <c r="E136" s="7" t="s">
        <v>251</v>
      </c>
      <c r="F136" s="10" t="s">
        <v>422</v>
      </c>
      <c r="G136" s="5" t="str">
        <f t="shared" si="11"/>
        <v>Pending</v>
      </c>
      <c r="H136" s="6"/>
      <c r="I136" s="8"/>
      <c r="J136" t="str">
        <f t="shared" si="7"/>
        <v/>
      </c>
      <c r="K136" s="24">
        <f>COUNTIF($G$3:G136,"Done")</f>
        <v>81</v>
      </c>
    </row>
    <row r="137" spans="1:11" ht="20" customHeight="1">
      <c r="A137" s="2">
        <v>127</v>
      </c>
      <c r="B137" s="3" t="s">
        <v>245</v>
      </c>
      <c r="C137" s="3"/>
      <c r="D137" s="3" t="s">
        <v>252</v>
      </c>
      <c r="E137" s="2" t="s">
        <v>253</v>
      </c>
      <c r="F137" s="4" t="s">
        <v>420</v>
      </c>
      <c r="G137" s="5" t="str">
        <f t="shared" si="11"/>
        <v>Pending</v>
      </c>
      <c r="H137" s="6"/>
      <c r="I137" s="3"/>
      <c r="J137" t="str">
        <f t="shared" si="7"/>
        <v/>
      </c>
      <c r="K137" s="24">
        <f>COUNTIF($G$3:G137,"Done")</f>
        <v>81</v>
      </c>
    </row>
    <row r="138" spans="1:11" ht="20" customHeight="1">
      <c r="A138" s="7">
        <v>128</v>
      </c>
      <c r="B138" s="8" t="s">
        <v>245</v>
      </c>
      <c r="C138" s="8"/>
      <c r="D138" s="8" t="s">
        <v>254</v>
      </c>
      <c r="E138" s="7" t="s">
        <v>255</v>
      </c>
      <c r="F138" s="10" t="s">
        <v>422</v>
      </c>
      <c r="G138" s="5" t="str">
        <f t="shared" si="11"/>
        <v>Pending</v>
      </c>
      <c r="H138" s="6"/>
      <c r="I138" s="8"/>
      <c r="J138" t="str">
        <f t="shared" si="7"/>
        <v/>
      </c>
      <c r="K138" s="24">
        <f>COUNTIF($G$3:G138,"Done")</f>
        <v>81</v>
      </c>
    </row>
    <row r="139" spans="1:11" ht="20" customHeight="1">
      <c r="A139" s="1"/>
      <c r="B139" s="38" t="s">
        <v>256</v>
      </c>
      <c r="C139" s="38"/>
      <c r="D139" s="1"/>
      <c r="E139" s="1"/>
      <c r="F139" s="1"/>
      <c r="G139" s="1"/>
      <c r="H139" s="1"/>
      <c r="I139" s="1"/>
      <c r="K139" s="24">
        <f>COUNTIF($G$3:G139,"Done")</f>
        <v>81</v>
      </c>
    </row>
    <row r="140" spans="1:11" ht="20" customHeight="1">
      <c r="A140" s="2">
        <v>129</v>
      </c>
      <c r="B140" s="3" t="s">
        <v>256</v>
      </c>
      <c r="C140" s="3"/>
      <c r="D140" s="3" t="s">
        <v>257</v>
      </c>
      <c r="E140" s="2" t="s">
        <v>42</v>
      </c>
      <c r="F140" s="4" t="s">
        <v>420</v>
      </c>
      <c r="G140" s="5" t="str">
        <f t="shared" ref="G140:G146" si="12">IF(H140&lt;&gt;"","Done","Pending")</f>
        <v>Pending</v>
      </c>
      <c r="H140" s="6"/>
      <c r="I140" s="3"/>
      <c r="J140" t="str">
        <f t="shared" si="7"/>
        <v/>
      </c>
      <c r="K140" s="24">
        <f>COUNTIF($G$3:G140,"Done")</f>
        <v>81</v>
      </c>
    </row>
    <row r="141" spans="1:11" ht="20" customHeight="1">
      <c r="A141" s="7">
        <v>130</v>
      </c>
      <c r="B141" s="8" t="s">
        <v>256</v>
      </c>
      <c r="C141" s="8"/>
      <c r="D141" s="8" t="s">
        <v>258</v>
      </c>
      <c r="E141" s="7" t="s">
        <v>259</v>
      </c>
      <c r="F141" s="4" t="s">
        <v>420</v>
      </c>
      <c r="G141" s="5" t="str">
        <f t="shared" si="12"/>
        <v>Pending</v>
      </c>
      <c r="H141" s="6"/>
      <c r="I141" s="8"/>
      <c r="J141" t="str">
        <f t="shared" si="7"/>
        <v/>
      </c>
      <c r="K141" s="24">
        <f>COUNTIF($G$3:G141,"Done")</f>
        <v>81</v>
      </c>
    </row>
    <row r="142" spans="1:11" ht="20" customHeight="1">
      <c r="A142" s="2">
        <v>131</v>
      </c>
      <c r="B142" s="3" t="s">
        <v>256</v>
      </c>
      <c r="C142" s="3"/>
      <c r="D142" s="3" t="s">
        <v>260</v>
      </c>
      <c r="E142" s="2" t="s">
        <v>261</v>
      </c>
      <c r="F142" s="4" t="s">
        <v>420</v>
      </c>
      <c r="G142" s="5" t="str">
        <f t="shared" si="12"/>
        <v>Pending</v>
      </c>
      <c r="H142" s="6"/>
      <c r="I142" s="3"/>
      <c r="J142" t="str">
        <f t="shared" si="7"/>
        <v/>
      </c>
      <c r="K142" s="24">
        <f>COUNTIF($G$3:G142,"Done")</f>
        <v>81</v>
      </c>
    </row>
    <row r="143" spans="1:11" ht="20" customHeight="1">
      <c r="A143" s="7">
        <v>132</v>
      </c>
      <c r="B143" s="8" t="s">
        <v>256</v>
      </c>
      <c r="C143" s="8"/>
      <c r="D143" s="8" t="s">
        <v>262</v>
      </c>
      <c r="E143" s="7" t="s">
        <v>263</v>
      </c>
      <c r="F143" s="10" t="s">
        <v>422</v>
      </c>
      <c r="G143" s="5" t="str">
        <f t="shared" si="12"/>
        <v>Pending</v>
      </c>
      <c r="H143" s="6"/>
      <c r="I143" s="8"/>
      <c r="J143" t="str">
        <f t="shared" si="7"/>
        <v/>
      </c>
      <c r="K143" s="24">
        <f>COUNTIF($G$3:G143,"Done")</f>
        <v>81</v>
      </c>
    </row>
    <row r="144" spans="1:11" ht="20" customHeight="1">
      <c r="A144" s="2">
        <v>133</v>
      </c>
      <c r="B144" s="3" t="s">
        <v>256</v>
      </c>
      <c r="C144" s="3"/>
      <c r="D144" s="3" t="s">
        <v>264</v>
      </c>
      <c r="E144" s="2" t="s">
        <v>265</v>
      </c>
      <c r="F144" s="4" t="s">
        <v>420</v>
      </c>
      <c r="G144" s="5" t="str">
        <f t="shared" si="12"/>
        <v>Pending</v>
      </c>
      <c r="H144" s="6"/>
      <c r="I144" s="3"/>
      <c r="J144" t="str">
        <f t="shared" si="7"/>
        <v/>
      </c>
      <c r="K144" s="24">
        <f>COUNTIF($G$3:G144,"Done")</f>
        <v>81</v>
      </c>
    </row>
    <row r="145" spans="1:11" ht="20" customHeight="1">
      <c r="A145" s="7">
        <v>134</v>
      </c>
      <c r="B145" s="8" t="s">
        <v>256</v>
      </c>
      <c r="C145" s="8"/>
      <c r="D145" s="8" t="s">
        <v>266</v>
      </c>
      <c r="E145" s="7" t="s">
        <v>263</v>
      </c>
      <c r="F145" s="10" t="s">
        <v>422</v>
      </c>
      <c r="G145" s="5" t="str">
        <f t="shared" si="12"/>
        <v>Pending</v>
      </c>
      <c r="H145" s="6"/>
      <c r="I145" s="8"/>
      <c r="J145" t="str">
        <f t="shared" si="7"/>
        <v/>
      </c>
      <c r="K145" s="24">
        <f>COUNTIF($G$3:G145,"Done")</f>
        <v>81</v>
      </c>
    </row>
    <row r="146" spans="1:11" ht="20" customHeight="1">
      <c r="A146" s="2">
        <v>135</v>
      </c>
      <c r="B146" s="3" t="s">
        <v>256</v>
      </c>
      <c r="C146" s="3"/>
      <c r="D146" s="3" t="s">
        <v>267</v>
      </c>
      <c r="E146" s="2" t="s">
        <v>227</v>
      </c>
      <c r="F146" s="10" t="s">
        <v>422</v>
      </c>
      <c r="G146" s="5" t="str">
        <f t="shared" si="12"/>
        <v>Pending</v>
      </c>
      <c r="H146" s="6"/>
      <c r="I146" s="3"/>
      <c r="J146" t="str">
        <f t="shared" si="7"/>
        <v/>
      </c>
      <c r="K146" s="24">
        <f>COUNTIF($G$3:G146,"Done")</f>
        <v>81</v>
      </c>
    </row>
    <row r="147" spans="1:11" ht="20" customHeight="1">
      <c r="A147" s="1"/>
      <c r="B147" s="38" t="s">
        <v>268</v>
      </c>
      <c r="C147" s="38"/>
      <c r="D147" s="1"/>
      <c r="E147" s="1"/>
      <c r="F147" s="1"/>
      <c r="G147" s="1"/>
      <c r="H147" s="1"/>
      <c r="I147" s="1"/>
      <c r="K147" s="24">
        <f>COUNTIF($G$3:G147,"Done")</f>
        <v>81</v>
      </c>
    </row>
    <row r="148" spans="1:11" ht="20" customHeight="1">
      <c r="A148" s="7">
        <v>136</v>
      </c>
      <c r="B148" s="8" t="s">
        <v>268</v>
      </c>
      <c r="C148" s="8"/>
      <c r="D148" s="8" t="s">
        <v>269</v>
      </c>
      <c r="E148" s="7" t="s">
        <v>270</v>
      </c>
      <c r="F148" s="4" t="s">
        <v>420</v>
      </c>
      <c r="G148" s="5" t="str">
        <f t="shared" ref="G148:G153" si="13">IF(H148&lt;&gt;"","Done","Pending")</f>
        <v>Pending</v>
      </c>
      <c r="H148" s="6"/>
      <c r="I148" s="8"/>
      <c r="J148" t="str">
        <f t="shared" si="7"/>
        <v/>
      </c>
      <c r="K148" s="24">
        <f>COUNTIF($G$3:G148,"Done")</f>
        <v>81</v>
      </c>
    </row>
    <row r="149" spans="1:11" ht="20" customHeight="1">
      <c r="A149" s="2">
        <v>137</v>
      </c>
      <c r="B149" s="3" t="s">
        <v>268</v>
      </c>
      <c r="C149" s="3"/>
      <c r="D149" s="3" t="s">
        <v>271</v>
      </c>
      <c r="E149" s="2" t="s">
        <v>265</v>
      </c>
      <c r="F149" s="4" t="s">
        <v>420</v>
      </c>
      <c r="G149" s="5" t="str">
        <f t="shared" si="13"/>
        <v>Pending</v>
      </c>
      <c r="H149" s="6"/>
      <c r="I149" s="3"/>
      <c r="J149" t="str">
        <f t="shared" si="7"/>
        <v/>
      </c>
      <c r="K149" s="24">
        <f>COUNTIF($G$3:G149,"Done")</f>
        <v>81</v>
      </c>
    </row>
    <row r="150" spans="1:11" ht="20" customHeight="1">
      <c r="A150" s="7">
        <v>138</v>
      </c>
      <c r="B150" s="8" t="s">
        <v>268</v>
      </c>
      <c r="C150" s="8"/>
      <c r="D150" s="8" t="s">
        <v>272</v>
      </c>
      <c r="E150" s="7" t="s">
        <v>273</v>
      </c>
      <c r="F150" s="10" t="s">
        <v>422</v>
      </c>
      <c r="G150" s="5" t="str">
        <f t="shared" si="13"/>
        <v>Pending</v>
      </c>
      <c r="H150" s="6"/>
      <c r="I150" s="8"/>
      <c r="J150" t="str">
        <f t="shared" si="7"/>
        <v/>
      </c>
      <c r="K150" s="24">
        <f>COUNTIF($G$3:G150,"Done")</f>
        <v>81</v>
      </c>
    </row>
    <row r="151" spans="1:11" ht="20" customHeight="1">
      <c r="A151" s="2">
        <v>139</v>
      </c>
      <c r="B151" s="3" t="s">
        <v>268</v>
      </c>
      <c r="C151" s="3"/>
      <c r="D151" s="3" t="s">
        <v>274</v>
      </c>
      <c r="E151" s="2" t="s">
        <v>275</v>
      </c>
      <c r="F151" s="4" t="s">
        <v>420</v>
      </c>
      <c r="G151" s="5" t="str">
        <f t="shared" si="13"/>
        <v>Pending</v>
      </c>
      <c r="H151" s="6"/>
      <c r="I151" s="3"/>
      <c r="J151" t="str">
        <f t="shared" si="7"/>
        <v/>
      </c>
      <c r="K151" s="24">
        <f>COUNTIF($G$3:G151,"Done")</f>
        <v>81</v>
      </c>
    </row>
    <row r="152" spans="1:11" ht="20" customHeight="1">
      <c r="A152" s="7">
        <v>140</v>
      </c>
      <c r="B152" s="8" t="s">
        <v>268</v>
      </c>
      <c r="C152" s="8"/>
      <c r="D152" s="8" t="s">
        <v>276</v>
      </c>
      <c r="E152" s="7" t="s">
        <v>277</v>
      </c>
      <c r="F152" s="10" t="s">
        <v>422</v>
      </c>
      <c r="G152" s="5" t="str">
        <f t="shared" si="13"/>
        <v>Pending</v>
      </c>
      <c r="H152" s="6"/>
      <c r="I152" s="8"/>
      <c r="J152" t="str">
        <f t="shared" si="7"/>
        <v/>
      </c>
      <c r="K152" s="24">
        <f>COUNTIF($G$3:G152,"Done")</f>
        <v>81</v>
      </c>
    </row>
    <row r="153" spans="1:11" ht="20" customHeight="1">
      <c r="A153" s="2">
        <v>141</v>
      </c>
      <c r="B153" s="3" t="s">
        <v>268</v>
      </c>
      <c r="C153" s="3"/>
      <c r="D153" s="3" t="s">
        <v>278</v>
      </c>
      <c r="E153" s="2" t="s">
        <v>76</v>
      </c>
      <c r="F153" s="4" t="s">
        <v>420</v>
      </c>
      <c r="G153" s="5" t="str">
        <f t="shared" si="13"/>
        <v>Pending</v>
      </c>
      <c r="H153" s="6"/>
      <c r="I153" s="3"/>
      <c r="J153" t="str">
        <f t="shared" si="7"/>
        <v/>
      </c>
      <c r="K153" s="24">
        <f>COUNTIF($G$3:G153,"Done")</f>
        <v>81</v>
      </c>
    </row>
    <row r="154" spans="1:11" ht="20" customHeight="1">
      <c r="A154" s="1"/>
      <c r="B154" s="38" t="s">
        <v>279</v>
      </c>
      <c r="C154" s="38"/>
      <c r="D154" s="1"/>
      <c r="E154" s="1"/>
      <c r="F154" s="1"/>
      <c r="G154" s="1"/>
      <c r="H154" s="1"/>
      <c r="I154" s="1"/>
      <c r="K154" s="24">
        <f>COUNTIF($G$3:G154,"Done")</f>
        <v>81</v>
      </c>
    </row>
    <row r="155" spans="1:11" ht="20" customHeight="1">
      <c r="A155" s="7">
        <v>142</v>
      </c>
      <c r="B155" s="8" t="s">
        <v>279</v>
      </c>
      <c r="C155" s="8"/>
      <c r="D155" s="8" t="s">
        <v>280</v>
      </c>
      <c r="E155" s="7" t="s">
        <v>281</v>
      </c>
      <c r="F155" s="4" t="s">
        <v>420</v>
      </c>
      <c r="G155" s="5" t="str">
        <f t="shared" ref="G155:G158" si="14">IF(H155&lt;&gt;"","Done","Pending")</f>
        <v>Pending</v>
      </c>
      <c r="H155" s="6"/>
      <c r="I155" s="8"/>
      <c r="J155" t="str">
        <f t="shared" si="7"/>
        <v/>
      </c>
      <c r="K155" s="24">
        <f>COUNTIF($G$3:G155,"Done")</f>
        <v>81</v>
      </c>
    </row>
    <row r="156" spans="1:11" ht="20" customHeight="1">
      <c r="A156" s="2">
        <v>143</v>
      </c>
      <c r="B156" s="3" t="s">
        <v>279</v>
      </c>
      <c r="C156" s="3"/>
      <c r="D156" s="3" t="s">
        <v>282</v>
      </c>
      <c r="E156" s="2" t="s">
        <v>283</v>
      </c>
      <c r="F156" s="4" t="s">
        <v>420</v>
      </c>
      <c r="G156" s="5" t="str">
        <f t="shared" si="14"/>
        <v>Pending</v>
      </c>
      <c r="H156" s="6"/>
      <c r="I156" s="3"/>
      <c r="J156" t="str">
        <f t="shared" ref="J156:J215" si="15">IF(G156="Pending","",K156/195)</f>
        <v/>
      </c>
      <c r="K156" s="24">
        <f>COUNTIF($G$3:G156,"Done")</f>
        <v>81</v>
      </c>
    </row>
    <row r="157" spans="1:11" ht="20" customHeight="1">
      <c r="A157" s="7">
        <v>144</v>
      </c>
      <c r="B157" s="8" t="s">
        <v>279</v>
      </c>
      <c r="C157" s="8"/>
      <c r="D157" s="8" t="s">
        <v>284</v>
      </c>
      <c r="E157" s="7" t="s">
        <v>285</v>
      </c>
      <c r="F157" s="4" t="s">
        <v>420</v>
      </c>
      <c r="G157" s="5" t="str">
        <f t="shared" si="14"/>
        <v>Pending</v>
      </c>
      <c r="H157" s="6"/>
      <c r="I157" s="8"/>
      <c r="J157" t="str">
        <f t="shared" si="15"/>
        <v/>
      </c>
      <c r="K157" s="24">
        <f>COUNTIF($G$3:G157,"Done")</f>
        <v>81</v>
      </c>
    </row>
    <row r="158" spans="1:11" ht="20" customHeight="1">
      <c r="A158" s="2">
        <v>145</v>
      </c>
      <c r="B158" s="3" t="s">
        <v>279</v>
      </c>
      <c r="C158" s="3"/>
      <c r="D158" s="3" t="s">
        <v>286</v>
      </c>
      <c r="E158" s="2" t="s">
        <v>287</v>
      </c>
      <c r="F158" s="10" t="s">
        <v>422</v>
      </c>
      <c r="G158" s="5" t="str">
        <f t="shared" si="14"/>
        <v>Pending</v>
      </c>
      <c r="H158" s="6"/>
      <c r="I158" s="3"/>
      <c r="J158" t="str">
        <f t="shared" si="15"/>
        <v/>
      </c>
      <c r="K158" s="24">
        <f>COUNTIF($G$3:G158,"Done")</f>
        <v>81</v>
      </c>
    </row>
    <row r="159" spans="1:11" ht="20" customHeight="1">
      <c r="A159" s="1"/>
      <c r="B159" s="38" t="s">
        <v>288</v>
      </c>
      <c r="C159" s="38"/>
      <c r="D159" s="1"/>
      <c r="E159" s="1"/>
      <c r="F159" s="1"/>
      <c r="G159" s="1"/>
      <c r="H159" s="1"/>
      <c r="I159" s="1"/>
      <c r="K159" s="24">
        <f>COUNTIF($G$3:G159,"Done")</f>
        <v>81</v>
      </c>
    </row>
    <row r="160" spans="1:11" ht="20" customHeight="1">
      <c r="A160" s="7">
        <v>146</v>
      </c>
      <c r="B160" s="8" t="s">
        <v>288</v>
      </c>
      <c r="C160" s="8"/>
      <c r="D160" s="8" t="s">
        <v>289</v>
      </c>
      <c r="E160" s="7" t="s">
        <v>290</v>
      </c>
      <c r="F160" s="4" t="s">
        <v>420</v>
      </c>
      <c r="G160" s="5" t="str">
        <f t="shared" ref="G160:G162" si="16">IF(H160&lt;&gt;"","Done","Pending")</f>
        <v>Pending</v>
      </c>
      <c r="H160" s="6"/>
      <c r="I160" s="8"/>
      <c r="J160" t="str">
        <f t="shared" si="15"/>
        <v/>
      </c>
      <c r="K160" s="24">
        <f>COUNTIF($G$3:G160,"Done")</f>
        <v>81</v>
      </c>
    </row>
    <row r="161" spans="1:11" ht="20" customHeight="1">
      <c r="A161" s="2">
        <v>147</v>
      </c>
      <c r="B161" s="3" t="s">
        <v>288</v>
      </c>
      <c r="C161" s="3"/>
      <c r="D161" s="3" t="s">
        <v>291</v>
      </c>
      <c r="E161" s="2" t="s">
        <v>292</v>
      </c>
      <c r="F161" s="4" t="s">
        <v>420</v>
      </c>
      <c r="G161" s="5" t="str">
        <f t="shared" si="16"/>
        <v>Pending</v>
      </c>
      <c r="H161" s="6"/>
      <c r="I161" s="3"/>
      <c r="J161" t="str">
        <f t="shared" si="15"/>
        <v/>
      </c>
      <c r="K161" s="24">
        <f>COUNTIF($G$3:G161,"Done")</f>
        <v>81</v>
      </c>
    </row>
    <row r="162" spans="1:11" ht="20" customHeight="1">
      <c r="A162" s="7">
        <v>148</v>
      </c>
      <c r="B162" s="8" t="s">
        <v>288</v>
      </c>
      <c r="C162" s="8"/>
      <c r="D162" s="8" t="s">
        <v>293</v>
      </c>
      <c r="E162" s="7" t="s">
        <v>294</v>
      </c>
      <c r="F162" s="4" t="s">
        <v>420</v>
      </c>
      <c r="G162" s="5" t="str">
        <f t="shared" si="16"/>
        <v>Pending</v>
      </c>
      <c r="H162" s="6"/>
      <c r="I162" s="8"/>
      <c r="J162" t="str">
        <f t="shared" si="15"/>
        <v/>
      </c>
      <c r="K162" s="24">
        <f>COUNTIF($G$3:G162,"Done")</f>
        <v>81</v>
      </c>
    </row>
    <row r="163" spans="1:11" ht="20" customHeight="1">
      <c r="A163" s="1"/>
      <c r="B163" s="38" t="s">
        <v>295</v>
      </c>
      <c r="C163" s="38"/>
      <c r="D163" s="1"/>
      <c r="E163" s="1"/>
      <c r="F163" s="1"/>
      <c r="G163" s="1"/>
      <c r="H163" s="1"/>
      <c r="I163" s="1"/>
      <c r="K163" s="24">
        <f>COUNTIF($G$3:G163,"Done")</f>
        <v>81</v>
      </c>
    </row>
    <row r="164" spans="1:11" ht="20" customHeight="1">
      <c r="A164" s="2">
        <v>149</v>
      </c>
      <c r="B164" s="3" t="s">
        <v>295</v>
      </c>
      <c r="C164" s="3"/>
      <c r="D164" s="3" t="s">
        <v>296</v>
      </c>
      <c r="E164" s="2" t="s">
        <v>70</v>
      </c>
      <c r="F164" s="4" t="s">
        <v>420</v>
      </c>
      <c r="G164" s="5" t="str">
        <f t="shared" ref="G164:G167" si="17">IF(H164&lt;&gt;"","Done","Pending")</f>
        <v>Pending</v>
      </c>
      <c r="H164" s="6"/>
      <c r="I164" s="3"/>
      <c r="J164" t="str">
        <f t="shared" si="15"/>
        <v/>
      </c>
      <c r="K164" s="24">
        <f>COUNTIF($G$3:G164,"Done")</f>
        <v>81</v>
      </c>
    </row>
    <row r="165" spans="1:11" ht="20" customHeight="1">
      <c r="A165" s="7">
        <v>150</v>
      </c>
      <c r="B165" s="8" t="s">
        <v>295</v>
      </c>
      <c r="C165" s="8"/>
      <c r="D165" s="8" t="s">
        <v>297</v>
      </c>
      <c r="E165" s="7" t="s">
        <v>298</v>
      </c>
      <c r="F165" s="4" t="s">
        <v>420</v>
      </c>
      <c r="G165" s="5" t="str">
        <f t="shared" si="17"/>
        <v>Pending</v>
      </c>
      <c r="H165" s="6"/>
      <c r="I165" s="8"/>
      <c r="J165" t="str">
        <f t="shared" si="15"/>
        <v/>
      </c>
      <c r="K165" s="24">
        <f>COUNTIF($G$3:G165,"Done")</f>
        <v>81</v>
      </c>
    </row>
    <row r="166" spans="1:11" ht="20" customHeight="1">
      <c r="A166" s="2">
        <v>151</v>
      </c>
      <c r="B166" s="3" t="s">
        <v>295</v>
      </c>
      <c r="C166" s="3"/>
      <c r="D166" s="3" t="s">
        <v>299</v>
      </c>
      <c r="E166" s="2" t="s">
        <v>176</v>
      </c>
      <c r="F166" s="4" t="s">
        <v>420</v>
      </c>
      <c r="G166" s="5" t="str">
        <f t="shared" si="17"/>
        <v>Pending</v>
      </c>
      <c r="H166" s="6"/>
      <c r="I166" s="3"/>
      <c r="J166" t="str">
        <f t="shared" si="15"/>
        <v/>
      </c>
      <c r="K166" s="24">
        <f>COUNTIF($G$3:G166,"Done")</f>
        <v>81</v>
      </c>
    </row>
    <row r="167" spans="1:11" ht="20" customHeight="1">
      <c r="A167" s="7">
        <v>152</v>
      </c>
      <c r="B167" s="8" t="s">
        <v>295</v>
      </c>
      <c r="C167" s="8"/>
      <c r="D167" s="8" t="s">
        <v>300</v>
      </c>
      <c r="E167" s="7" t="s">
        <v>301</v>
      </c>
      <c r="F167" s="4" t="s">
        <v>420</v>
      </c>
      <c r="G167" s="5" t="str">
        <f t="shared" si="17"/>
        <v>Pending</v>
      </c>
      <c r="H167" s="6"/>
      <c r="I167" s="8"/>
      <c r="J167" t="str">
        <f t="shared" si="15"/>
        <v/>
      </c>
      <c r="K167" s="24">
        <f>COUNTIF($G$3:G167,"Done")</f>
        <v>81</v>
      </c>
    </row>
    <row r="168" spans="1:11" ht="20" customHeight="1">
      <c r="A168" s="1"/>
      <c r="B168" s="38" t="s">
        <v>302</v>
      </c>
      <c r="C168" s="38"/>
      <c r="D168" s="1"/>
      <c r="E168" s="1"/>
      <c r="F168" s="1"/>
      <c r="G168" s="1"/>
      <c r="H168" s="1"/>
      <c r="I168" s="1"/>
      <c r="K168" s="24">
        <f>COUNTIF($G$3:G168,"Done")</f>
        <v>81</v>
      </c>
    </row>
    <row r="169" spans="1:11" ht="20" customHeight="1">
      <c r="A169" s="2">
        <v>153</v>
      </c>
      <c r="B169" s="3" t="s">
        <v>302</v>
      </c>
      <c r="C169" s="3"/>
      <c r="D169" s="3" t="s">
        <v>303</v>
      </c>
      <c r="E169" s="2" t="s">
        <v>16</v>
      </c>
      <c r="F169" s="4" t="s">
        <v>420</v>
      </c>
      <c r="G169" s="5" t="str">
        <f t="shared" ref="G169:G172" si="18">IF(H169&lt;&gt;"","Done","Pending")</f>
        <v>Pending</v>
      </c>
      <c r="H169" s="6"/>
      <c r="I169" s="3"/>
      <c r="J169" t="str">
        <f t="shared" si="15"/>
        <v/>
      </c>
      <c r="K169" s="24">
        <f>COUNTIF($G$3:G169,"Done")</f>
        <v>81</v>
      </c>
    </row>
    <row r="170" spans="1:11" ht="20" customHeight="1">
      <c r="A170" s="7">
        <v>154</v>
      </c>
      <c r="B170" s="8" t="s">
        <v>302</v>
      </c>
      <c r="C170" s="8"/>
      <c r="D170" s="8" t="s">
        <v>304</v>
      </c>
      <c r="E170" s="7" t="s">
        <v>305</v>
      </c>
      <c r="F170" s="4" t="s">
        <v>420</v>
      </c>
      <c r="G170" s="5" t="str">
        <f t="shared" si="18"/>
        <v>Pending</v>
      </c>
      <c r="H170" s="6"/>
      <c r="I170" s="8"/>
      <c r="J170" t="str">
        <f t="shared" si="15"/>
        <v/>
      </c>
      <c r="K170" s="24">
        <f>COUNTIF($G$3:G170,"Done")</f>
        <v>81</v>
      </c>
    </row>
    <row r="171" spans="1:11" ht="20" customHeight="1">
      <c r="A171" s="2">
        <v>155</v>
      </c>
      <c r="B171" s="3" t="s">
        <v>302</v>
      </c>
      <c r="C171" s="3"/>
      <c r="D171" s="3" t="s">
        <v>306</v>
      </c>
      <c r="E171" s="2" t="s">
        <v>176</v>
      </c>
      <c r="F171" s="4" t="s">
        <v>420</v>
      </c>
      <c r="G171" s="5" t="str">
        <f t="shared" si="18"/>
        <v>Pending</v>
      </c>
      <c r="H171" s="6"/>
      <c r="I171" s="3"/>
      <c r="J171" t="str">
        <f t="shared" si="15"/>
        <v/>
      </c>
      <c r="K171" s="24">
        <f>COUNTIF($G$3:G171,"Done")</f>
        <v>81</v>
      </c>
    </row>
    <row r="172" spans="1:11" ht="20" customHeight="1">
      <c r="A172" s="7">
        <v>156</v>
      </c>
      <c r="B172" s="8" t="s">
        <v>302</v>
      </c>
      <c r="C172" s="8"/>
      <c r="D172" s="8" t="s">
        <v>307</v>
      </c>
      <c r="E172" s="7" t="s">
        <v>308</v>
      </c>
      <c r="F172" s="4" t="s">
        <v>420</v>
      </c>
      <c r="G172" s="5" t="str">
        <f t="shared" si="18"/>
        <v>Pending</v>
      </c>
      <c r="H172" s="6"/>
      <c r="I172" s="8"/>
      <c r="J172" t="str">
        <f t="shared" si="15"/>
        <v/>
      </c>
      <c r="K172" s="24">
        <f>COUNTIF($G$3:G172,"Done")</f>
        <v>81</v>
      </c>
    </row>
    <row r="173" spans="1:11" ht="20" customHeight="1">
      <c r="A173" s="1"/>
      <c r="B173" s="38" t="s">
        <v>309</v>
      </c>
      <c r="C173" s="38"/>
      <c r="D173" s="1"/>
      <c r="E173" s="1"/>
      <c r="F173" s="1"/>
      <c r="G173" s="1"/>
      <c r="H173" s="1"/>
      <c r="I173" s="1"/>
      <c r="K173" s="24">
        <f>COUNTIF($G$3:G173,"Done")</f>
        <v>81</v>
      </c>
    </row>
    <row r="174" spans="1:11" ht="20" customHeight="1">
      <c r="A174" s="2">
        <v>157</v>
      </c>
      <c r="B174" s="3" t="s">
        <v>309</v>
      </c>
      <c r="C174" s="3"/>
      <c r="D174" s="3" t="s">
        <v>310</v>
      </c>
      <c r="E174" s="2" t="s">
        <v>311</v>
      </c>
      <c r="F174" s="4" t="s">
        <v>420</v>
      </c>
      <c r="G174" s="5" t="str">
        <f t="shared" ref="G174:G183" si="19">IF(H174&lt;&gt;"","Done","Pending")</f>
        <v>Pending</v>
      </c>
      <c r="H174" s="6"/>
      <c r="I174" s="3"/>
      <c r="J174" t="str">
        <f t="shared" si="15"/>
        <v/>
      </c>
      <c r="K174" s="24">
        <f>COUNTIF($G$3:G174,"Done")</f>
        <v>81</v>
      </c>
    </row>
    <row r="175" spans="1:11" ht="20" customHeight="1">
      <c r="A175" s="7">
        <v>158</v>
      </c>
      <c r="B175" s="8" t="s">
        <v>309</v>
      </c>
      <c r="C175" s="8"/>
      <c r="D175" s="8" t="s">
        <v>312</v>
      </c>
      <c r="E175" s="7" t="s">
        <v>313</v>
      </c>
      <c r="F175" s="4" t="s">
        <v>420</v>
      </c>
      <c r="G175" s="5" t="str">
        <f t="shared" si="19"/>
        <v>Pending</v>
      </c>
      <c r="H175" s="6"/>
      <c r="I175" s="8"/>
      <c r="J175" t="str">
        <f t="shared" si="15"/>
        <v/>
      </c>
      <c r="K175" s="24">
        <f>COUNTIF($G$3:G175,"Done")</f>
        <v>81</v>
      </c>
    </row>
    <row r="176" spans="1:11" ht="20" customHeight="1">
      <c r="A176" s="2">
        <v>159</v>
      </c>
      <c r="B176" s="3" t="s">
        <v>309</v>
      </c>
      <c r="C176" s="3"/>
      <c r="D176" s="3" t="s">
        <v>314</v>
      </c>
      <c r="E176" s="2" t="s">
        <v>315</v>
      </c>
      <c r="F176" s="10" t="s">
        <v>422</v>
      </c>
      <c r="G176" s="5" t="str">
        <f t="shared" si="19"/>
        <v>Pending</v>
      </c>
      <c r="H176" s="6"/>
      <c r="I176" s="3"/>
      <c r="J176" t="str">
        <f t="shared" si="15"/>
        <v/>
      </c>
      <c r="K176" s="24">
        <f>COUNTIF($G$3:G176,"Done")</f>
        <v>81</v>
      </c>
    </row>
    <row r="177" spans="1:11" ht="20" customHeight="1">
      <c r="A177" s="7">
        <v>160</v>
      </c>
      <c r="B177" s="8" t="s">
        <v>309</v>
      </c>
      <c r="C177" s="8"/>
      <c r="D177" s="8" t="s">
        <v>316</v>
      </c>
      <c r="E177" s="7" t="s">
        <v>313</v>
      </c>
      <c r="F177" s="4" t="s">
        <v>420</v>
      </c>
      <c r="G177" s="5" t="str">
        <f t="shared" si="19"/>
        <v>Pending</v>
      </c>
      <c r="H177" s="6"/>
      <c r="I177" s="8"/>
      <c r="J177" t="str">
        <f t="shared" si="15"/>
        <v/>
      </c>
      <c r="K177" s="24">
        <f>COUNTIF($G$3:G177,"Done")</f>
        <v>81</v>
      </c>
    </row>
    <row r="178" spans="1:11" ht="20" customHeight="1">
      <c r="A178" s="2">
        <v>161</v>
      </c>
      <c r="B178" s="3" t="s">
        <v>309</v>
      </c>
      <c r="C178" s="3"/>
      <c r="D178" s="3" t="s">
        <v>317</v>
      </c>
      <c r="E178" s="2" t="s">
        <v>318</v>
      </c>
      <c r="F178" s="4" t="s">
        <v>420</v>
      </c>
      <c r="G178" s="5" t="str">
        <f t="shared" si="19"/>
        <v>Pending</v>
      </c>
      <c r="H178" s="6"/>
      <c r="I178" s="3"/>
      <c r="J178" t="str">
        <f t="shared" si="15"/>
        <v/>
      </c>
      <c r="K178" s="24">
        <f>COUNTIF($G$3:G178,"Done")</f>
        <v>81</v>
      </c>
    </row>
    <row r="179" spans="1:11" ht="20" customHeight="1">
      <c r="A179" s="7">
        <v>162</v>
      </c>
      <c r="B179" s="8" t="s">
        <v>309</v>
      </c>
      <c r="C179" s="8"/>
      <c r="D179" s="8" t="s">
        <v>319</v>
      </c>
      <c r="E179" s="7" t="s">
        <v>320</v>
      </c>
      <c r="F179" s="4" t="s">
        <v>420</v>
      </c>
      <c r="G179" s="5" t="str">
        <f t="shared" si="19"/>
        <v>Pending</v>
      </c>
      <c r="H179" s="6"/>
      <c r="I179" s="8"/>
      <c r="J179" t="str">
        <f t="shared" si="15"/>
        <v/>
      </c>
      <c r="K179" s="24">
        <f>COUNTIF($G$3:G179,"Done")</f>
        <v>81</v>
      </c>
    </row>
    <row r="180" spans="1:11" ht="20" customHeight="1">
      <c r="A180" s="2">
        <v>163</v>
      </c>
      <c r="B180" s="3" t="s">
        <v>309</v>
      </c>
      <c r="C180" s="3"/>
      <c r="D180" s="3" t="s">
        <v>321</v>
      </c>
      <c r="E180" s="2" t="s">
        <v>322</v>
      </c>
      <c r="F180" s="10" t="s">
        <v>422</v>
      </c>
      <c r="G180" s="5" t="str">
        <f t="shared" si="19"/>
        <v>Pending</v>
      </c>
      <c r="H180" s="6"/>
      <c r="I180" s="3"/>
      <c r="J180" t="str">
        <f t="shared" si="15"/>
        <v/>
      </c>
      <c r="K180" s="24">
        <f>COUNTIF($G$3:G180,"Done")</f>
        <v>81</v>
      </c>
    </row>
    <row r="181" spans="1:11" ht="20" customHeight="1">
      <c r="A181" s="7">
        <v>164</v>
      </c>
      <c r="B181" s="8" t="s">
        <v>309</v>
      </c>
      <c r="C181" s="8"/>
      <c r="D181" s="8" t="s">
        <v>323</v>
      </c>
      <c r="E181" s="7" t="s">
        <v>324</v>
      </c>
      <c r="F181" s="10" t="s">
        <v>422</v>
      </c>
      <c r="G181" s="5" t="str">
        <f t="shared" si="19"/>
        <v>Pending</v>
      </c>
      <c r="H181" s="6"/>
      <c r="I181" s="8"/>
      <c r="J181" t="str">
        <f t="shared" si="15"/>
        <v/>
      </c>
      <c r="K181" s="24">
        <f>COUNTIF($G$3:G181,"Done")</f>
        <v>81</v>
      </c>
    </row>
    <row r="182" spans="1:11" ht="20" customHeight="1">
      <c r="A182" s="2">
        <v>165</v>
      </c>
      <c r="B182" s="3" t="s">
        <v>309</v>
      </c>
      <c r="C182" s="3"/>
      <c r="D182" s="3" t="s">
        <v>325</v>
      </c>
      <c r="E182" s="2" t="s">
        <v>326</v>
      </c>
      <c r="F182" s="10" t="s">
        <v>422</v>
      </c>
      <c r="G182" s="5" t="str">
        <f t="shared" si="19"/>
        <v>Pending</v>
      </c>
      <c r="H182" s="6"/>
      <c r="I182" s="3"/>
      <c r="J182" t="str">
        <f t="shared" si="15"/>
        <v/>
      </c>
      <c r="K182" s="24">
        <f>COUNTIF($G$3:G182,"Done")</f>
        <v>81</v>
      </c>
    </row>
    <row r="183" spans="1:11" ht="20" customHeight="1">
      <c r="A183" s="7">
        <v>166</v>
      </c>
      <c r="B183" s="8" t="s">
        <v>309</v>
      </c>
      <c r="C183" s="8"/>
      <c r="D183" s="8" t="s">
        <v>327</v>
      </c>
      <c r="E183" s="7" t="s">
        <v>328</v>
      </c>
      <c r="F183" s="4" t="s">
        <v>420</v>
      </c>
      <c r="G183" s="5" t="str">
        <f t="shared" si="19"/>
        <v>Pending</v>
      </c>
      <c r="H183" s="6"/>
      <c r="I183" s="8"/>
      <c r="J183" t="str">
        <f t="shared" si="15"/>
        <v/>
      </c>
      <c r="K183" s="24">
        <f>COUNTIF($G$3:G183,"Done")</f>
        <v>81</v>
      </c>
    </row>
    <row r="184" spans="1:11" ht="20" customHeight="1">
      <c r="A184" s="1"/>
      <c r="B184" s="38" t="s">
        <v>329</v>
      </c>
      <c r="C184" s="38"/>
      <c r="D184" s="1"/>
      <c r="E184" s="1"/>
      <c r="F184" s="1"/>
      <c r="G184" s="1"/>
      <c r="H184" s="1"/>
      <c r="I184" s="1"/>
      <c r="K184" s="24">
        <f>COUNTIF($G$3:G184,"Done")</f>
        <v>81</v>
      </c>
    </row>
    <row r="185" spans="1:11" ht="20" customHeight="1">
      <c r="A185" s="2">
        <v>167</v>
      </c>
      <c r="B185" s="3" t="s">
        <v>329</v>
      </c>
      <c r="C185" s="3"/>
      <c r="D185" s="3" t="s">
        <v>330</v>
      </c>
      <c r="E185" s="2" t="s">
        <v>331</v>
      </c>
      <c r="F185" s="4" t="s">
        <v>420</v>
      </c>
      <c r="G185" s="5" t="str">
        <f t="shared" ref="G185:G196" si="20">IF(H185&lt;&gt;"","Done","Pending")</f>
        <v>Pending</v>
      </c>
      <c r="H185" s="6"/>
      <c r="I185" s="3"/>
      <c r="J185" t="str">
        <f t="shared" si="15"/>
        <v/>
      </c>
      <c r="K185" s="24">
        <f>COUNTIF($G$3:G185,"Done")</f>
        <v>81</v>
      </c>
    </row>
    <row r="186" spans="1:11" ht="20" customHeight="1">
      <c r="A186" s="7">
        <v>168</v>
      </c>
      <c r="B186" s="8" t="s">
        <v>329</v>
      </c>
      <c r="C186" s="8"/>
      <c r="D186" s="8" t="s">
        <v>332</v>
      </c>
      <c r="E186" s="7" t="s">
        <v>333</v>
      </c>
      <c r="F186" s="4" t="s">
        <v>420</v>
      </c>
      <c r="G186" s="5" t="str">
        <f t="shared" si="20"/>
        <v>Pending</v>
      </c>
      <c r="H186" s="6"/>
      <c r="I186" s="8"/>
      <c r="J186" t="str">
        <f t="shared" si="15"/>
        <v/>
      </c>
      <c r="K186" s="24">
        <f>COUNTIF($G$3:G186,"Done")</f>
        <v>81</v>
      </c>
    </row>
    <row r="187" spans="1:11" ht="20" customHeight="1">
      <c r="A187" s="2">
        <v>169</v>
      </c>
      <c r="B187" s="3" t="s">
        <v>329</v>
      </c>
      <c r="C187" s="3"/>
      <c r="D187" s="3" t="s">
        <v>334</v>
      </c>
      <c r="E187" s="2" t="s">
        <v>195</v>
      </c>
      <c r="F187" s="4" t="s">
        <v>420</v>
      </c>
      <c r="G187" s="5" t="str">
        <f t="shared" si="20"/>
        <v>Pending</v>
      </c>
      <c r="H187" s="6"/>
      <c r="I187" s="3"/>
      <c r="J187" t="str">
        <f t="shared" si="15"/>
        <v/>
      </c>
      <c r="K187" s="24">
        <f>COUNTIF($G$3:G187,"Done")</f>
        <v>81</v>
      </c>
    </row>
    <row r="188" spans="1:11" ht="20" customHeight="1">
      <c r="A188" s="7">
        <v>170</v>
      </c>
      <c r="B188" s="8" t="s">
        <v>329</v>
      </c>
      <c r="C188" s="8"/>
      <c r="D188" s="8" t="s">
        <v>335</v>
      </c>
      <c r="E188" s="7" t="s">
        <v>336</v>
      </c>
      <c r="F188" s="4" t="s">
        <v>420</v>
      </c>
      <c r="G188" s="5" t="str">
        <f t="shared" si="20"/>
        <v>Pending</v>
      </c>
      <c r="H188" s="6"/>
      <c r="I188" s="8"/>
      <c r="J188" t="str">
        <f t="shared" si="15"/>
        <v/>
      </c>
      <c r="K188" s="24">
        <f>COUNTIF($G$3:G188,"Done")</f>
        <v>81</v>
      </c>
    </row>
    <row r="189" spans="1:11" ht="20" customHeight="1">
      <c r="A189" s="2">
        <v>171</v>
      </c>
      <c r="B189" s="3" t="s">
        <v>329</v>
      </c>
      <c r="C189" s="3"/>
      <c r="D189" s="3" t="s">
        <v>337</v>
      </c>
      <c r="E189" s="2" t="s">
        <v>338</v>
      </c>
      <c r="F189" s="4" t="s">
        <v>420</v>
      </c>
      <c r="G189" s="5" t="str">
        <f t="shared" si="20"/>
        <v>Pending</v>
      </c>
      <c r="H189" s="6"/>
      <c r="I189" s="3"/>
      <c r="J189" t="str">
        <f t="shared" si="15"/>
        <v/>
      </c>
      <c r="K189" s="24">
        <f>COUNTIF($G$3:G189,"Done")</f>
        <v>81</v>
      </c>
    </row>
    <row r="190" spans="1:11" ht="20" customHeight="1">
      <c r="A190" s="7">
        <v>172</v>
      </c>
      <c r="B190" s="8" t="s">
        <v>329</v>
      </c>
      <c r="C190" s="8"/>
      <c r="D190" s="8" t="s">
        <v>339</v>
      </c>
      <c r="E190" s="7" t="s">
        <v>340</v>
      </c>
      <c r="F190" s="4" t="s">
        <v>420</v>
      </c>
      <c r="G190" s="5" t="str">
        <f t="shared" si="20"/>
        <v>Pending</v>
      </c>
      <c r="H190" s="6"/>
      <c r="I190" s="8"/>
      <c r="J190" t="str">
        <f t="shared" si="15"/>
        <v/>
      </c>
      <c r="K190" s="24">
        <f>COUNTIF($G$3:G190,"Done")</f>
        <v>81</v>
      </c>
    </row>
    <row r="191" spans="1:11" ht="20" customHeight="1">
      <c r="A191" s="2">
        <v>173</v>
      </c>
      <c r="B191" s="3" t="s">
        <v>329</v>
      </c>
      <c r="C191" s="3"/>
      <c r="D191" s="3" t="s">
        <v>341</v>
      </c>
      <c r="E191" s="2" t="s">
        <v>44</v>
      </c>
      <c r="F191" s="4" t="s">
        <v>420</v>
      </c>
      <c r="G191" s="5" t="str">
        <f t="shared" si="20"/>
        <v>Pending</v>
      </c>
      <c r="H191" s="6"/>
      <c r="I191" s="3"/>
      <c r="J191" t="str">
        <f t="shared" si="15"/>
        <v/>
      </c>
      <c r="K191" s="24">
        <f>COUNTIF($G$3:G191,"Done")</f>
        <v>81</v>
      </c>
    </row>
    <row r="192" spans="1:11" ht="20" customHeight="1">
      <c r="A192" s="7">
        <v>174</v>
      </c>
      <c r="B192" s="8" t="s">
        <v>329</v>
      </c>
      <c r="C192" s="8"/>
      <c r="D192" s="8" t="s">
        <v>342</v>
      </c>
      <c r="E192" s="7" t="s">
        <v>343</v>
      </c>
      <c r="F192" s="4" t="s">
        <v>420</v>
      </c>
      <c r="G192" s="5" t="str">
        <f t="shared" si="20"/>
        <v>Pending</v>
      </c>
      <c r="H192" s="6"/>
      <c r="I192" s="8"/>
      <c r="J192" t="str">
        <f t="shared" si="15"/>
        <v/>
      </c>
      <c r="K192" s="24">
        <f>COUNTIF($G$3:G192,"Done")</f>
        <v>81</v>
      </c>
    </row>
    <row r="193" spans="1:11" ht="20" customHeight="1">
      <c r="A193" s="2">
        <v>175</v>
      </c>
      <c r="B193" s="3" t="s">
        <v>329</v>
      </c>
      <c r="C193" s="3"/>
      <c r="D193" s="3" t="s">
        <v>344</v>
      </c>
      <c r="E193" s="2" t="s">
        <v>185</v>
      </c>
      <c r="F193" s="4" t="s">
        <v>420</v>
      </c>
      <c r="G193" s="5" t="str">
        <f t="shared" si="20"/>
        <v>Pending</v>
      </c>
      <c r="H193" s="6"/>
      <c r="I193" s="3"/>
      <c r="J193" t="str">
        <f t="shared" si="15"/>
        <v/>
      </c>
      <c r="K193" s="24">
        <f>COUNTIF($G$3:G193,"Done")</f>
        <v>81</v>
      </c>
    </row>
    <row r="194" spans="1:11" ht="20" customHeight="1">
      <c r="A194" s="7">
        <v>176</v>
      </c>
      <c r="B194" s="8" t="s">
        <v>329</v>
      </c>
      <c r="C194" s="8"/>
      <c r="D194" s="8" t="s">
        <v>345</v>
      </c>
      <c r="E194" s="7" t="s">
        <v>328</v>
      </c>
      <c r="F194" s="4" t="s">
        <v>420</v>
      </c>
      <c r="G194" s="5" t="str">
        <f t="shared" si="20"/>
        <v>Pending</v>
      </c>
      <c r="H194" s="6"/>
      <c r="I194" s="8"/>
      <c r="J194" t="str">
        <f t="shared" si="15"/>
        <v/>
      </c>
      <c r="K194" s="24">
        <f>COUNTIF($G$3:G194,"Done")</f>
        <v>81</v>
      </c>
    </row>
    <row r="195" spans="1:11" ht="20" customHeight="1">
      <c r="A195" s="2">
        <v>177</v>
      </c>
      <c r="B195" s="3" t="s">
        <v>329</v>
      </c>
      <c r="C195" s="3"/>
      <c r="D195" s="3" t="s">
        <v>346</v>
      </c>
      <c r="E195" s="2" t="s">
        <v>221</v>
      </c>
      <c r="F195" s="4" t="s">
        <v>420</v>
      </c>
      <c r="G195" s="5" t="str">
        <f t="shared" si="20"/>
        <v>Pending</v>
      </c>
      <c r="H195" s="6"/>
      <c r="I195" s="3"/>
      <c r="J195" t="str">
        <f t="shared" si="15"/>
        <v/>
      </c>
      <c r="K195" s="24">
        <f>COUNTIF($G$3:G195,"Done")</f>
        <v>81</v>
      </c>
    </row>
    <row r="196" spans="1:11" ht="20" customHeight="1">
      <c r="A196" s="7">
        <v>178</v>
      </c>
      <c r="B196" s="8" t="s">
        <v>329</v>
      </c>
      <c r="C196" s="8"/>
      <c r="D196" s="8" t="s">
        <v>347</v>
      </c>
      <c r="E196" s="7" t="s">
        <v>107</v>
      </c>
      <c r="F196" s="4" t="s">
        <v>420</v>
      </c>
      <c r="G196" s="5" t="str">
        <f t="shared" si="20"/>
        <v>Pending</v>
      </c>
      <c r="H196" s="6"/>
      <c r="I196" s="8"/>
      <c r="J196" t="str">
        <f t="shared" si="15"/>
        <v/>
      </c>
      <c r="K196" s="24">
        <f>COUNTIF($G$3:G196,"Done")</f>
        <v>81</v>
      </c>
    </row>
    <row r="197" spans="1:11" ht="20" customHeight="1">
      <c r="A197" s="1"/>
      <c r="B197" s="38" t="s">
        <v>348</v>
      </c>
      <c r="C197" s="38"/>
      <c r="D197" s="1"/>
      <c r="E197" s="1"/>
      <c r="F197" s="1"/>
      <c r="G197" s="1"/>
      <c r="H197" s="1"/>
      <c r="I197" s="1"/>
      <c r="K197" s="24">
        <f>COUNTIF($G$3:G197,"Done")</f>
        <v>81</v>
      </c>
    </row>
    <row r="198" spans="1:11" ht="20" customHeight="1">
      <c r="A198" s="2">
        <v>179</v>
      </c>
      <c r="B198" s="3" t="s">
        <v>348</v>
      </c>
      <c r="C198" s="3"/>
      <c r="D198" s="3" t="s">
        <v>349</v>
      </c>
      <c r="E198" s="2" t="s">
        <v>350</v>
      </c>
      <c r="F198" s="4" t="s">
        <v>420</v>
      </c>
      <c r="G198" s="5" t="str">
        <f t="shared" ref="G198:G204" si="21">IF(H198&lt;&gt;"","Done","Pending")</f>
        <v>Pending</v>
      </c>
      <c r="H198" s="6"/>
      <c r="I198" s="3"/>
      <c r="J198" t="str">
        <f t="shared" si="15"/>
        <v/>
      </c>
      <c r="K198" s="24">
        <f>COUNTIF($G$3:G198,"Done")</f>
        <v>81</v>
      </c>
    </row>
    <row r="199" spans="1:11" ht="20" customHeight="1">
      <c r="A199" s="7">
        <v>180</v>
      </c>
      <c r="B199" s="8" t="s">
        <v>348</v>
      </c>
      <c r="C199" s="8"/>
      <c r="D199" s="8" t="s">
        <v>351</v>
      </c>
      <c r="E199" s="7" t="s">
        <v>352</v>
      </c>
      <c r="F199" s="4" t="s">
        <v>420</v>
      </c>
      <c r="G199" s="5" t="str">
        <f t="shared" si="21"/>
        <v>Pending</v>
      </c>
      <c r="H199" s="6"/>
      <c r="I199" s="8"/>
      <c r="J199" t="str">
        <f t="shared" si="15"/>
        <v/>
      </c>
      <c r="K199" s="24">
        <f>COUNTIF($G$3:G199,"Done")</f>
        <v>81</v>
      </c>
    </row>
    <row r="200" spans="1:11" ht="20" customHeight="1">
      <c r="A200" s="2">
        <v>181</v>
      </c>
      <c r="B200" s="3" t="s">
        <v>348</v>
      </c>
      <c r="C200" s="3"/>
      <c r="D200" s="3" t="s">
        <v>353</v>
      </c>
      <c r="E200" s="2" t="s">
        <v>354</v>
      </c>
      <c r="F200" s="4" t="s">
        <v>420</v>
      </c>
      <c r="G200" s="5" t="str">
        <f t="shared" si="21"/>
        <v>Pending</v>
      </c>
      <c r="H200" s="6"/>
      <c r="I200" s="3"/>
      <c r="J200" t="str">
        <f t="shared" si="15"/>
        <v/>
      </c>
      <c r="K200" s="24">
        <f>COUNTIF($G$3:G200,"Done")</f>
        <v>81</v>
      </c>
    </row>
    <row r="201" spans="1:11" ht="20" customHeight="1">
      <c r="A201" s="7">
        <v>182</v>
      </c>
      <c r="B201" s="8" t="s">
        <v>348</v>
      </c>
      <c r="C201" s="8"/>
      <c r="D201" s="8" t="s">
        <v>355</v>
      </c>
      <c r="E201" s="7" t="s">
        <v>356</v>
      </c>
      <c r="F201" s="10" t="s">
        <v>422</v>
      </c>
      <c r="G201" s="5" t="str">
        <f t="shared" si="21"/>
        <v>Pending</v>
      </c>
      <c r="H201" s="6"/>
      <c r="I201" s="8"/>
      <c r="J201" t="str">
        <f t="shared" si="15"/>
        <v/>
      </c>
      <c r="K201" s="24">
        <f>COUNTIF($G$3:G201,"Done")</f>
        <v>81</v>
      </c>
    </row>
    <row r="202" spans="1:11" ht="20" customHeight="1">
      <c r="A202" s="2">
        <v>183</v>
      </c>
      <c r="B202" s="3" t="s">
        <v>348</v>
      </c>
      <c r="C202" s="3"/>
      <c r="D202" s="3" t="s">
        <v>357</v>
      </c>
      <c r="E202" s="2" t="s">
        <v>352</v>
      </c>
      <c r="F202" s="4" t="s">
        <v>420</v>
      </c>
      <c r="G202" s="5" t="str">
        <f t="shared" si="21"/>
        <v>Pending</v>
      </c>
      <c r="H202" s="6"/>
      <c r="I202" s="3"/>
      <c r="J202" t="str">
        <f t="shared" si="15"/>
        <v/>
      </c>
      <c r="K202" s="24">
        <f>COUNTIF($G$3:G202,"Done")</f>
        <v>81</v>
      </c>
    </row>
    <row r="203" spans="1:11" ht="20" customHeight="1">
      <c r="A203" s="7">
        <v>184</v>
      </c>
      <c r="B203" s="8" t="s">
        <v>348</v>
      </c>
      <c r="C203" s="8"/>
      <c r="D203" s="8" t="s">
        <v>358</v>
      </c>
      <c r="E203" s="7" t="s">
        <v>359</v>
      </c>
      <c r="F203" s="4" t="s">
        <v>420</v>
      </c>
      <c r="G203" s="5" t="str">
        <f t="shared" si="21"/>
        <v>Pending</v>
      </c>
      <c r="H203" s="6"/>
      <c r="I203" s="8"/>
      <c r="J203" t="str">
        <f t="shared" si="15"/>
        <v/>
      </c>
      <c r="K203" s="24">
        <f>COUNTIF($G$3:G203,"Done")</f>
        <v>81</v>
      </c>
    </row>
    <row r="204" spans="1:11" ht="20" customHeight="1">
      <c r="A204" s="2">
        <v>185</v>
      </c>
      <c r="B204" s="3" t="s">
        <v>348</v>
      </c>
      <c r="C204" s="3"/>
      <c r="D204" s="3" t="s">
        <v>300</v>
      </c>
      <c r="E204" s="2" t="s">
        <v>360</v>
      </c>
      <c r="F204" s="4" t="s">
        <v>420</v>
      </c>
      <c r="G204" s="5" t="str">
        <f t="shared" si="21"/>
        <v>Pending</v>
      </c>
      <c r="H204" s="6"/>
      <c r="I204" s="3"/>
      <c r="J204" t="str">
        <f t="shared" si="15"/>
        <v/>
      </c>
      <c r="K204" s="24">
        <f>COUNTIF($G$3:G204,"Done")</f>
        <v>81</v>
      </c>
    </row>
    <row r="205" spans="1:11" ht="20" customHeight="1">
      <c r="A205" s="1"/>
      <c r="B205" s="38" t="s">
        <v>361</v>
      </c>
      <c r="C205" s="38"/>
      <c r="D205" s="1"/>
      <c r="E205" s="1"/>
      <c r="F205" s="1"/>
      <c r="G205" s="1"/>
      <c r="H205" s="1"/>
      <c r="I205" s="1"/>
      <c r="K205" s="24">
        <f>COUNTIF($G$3:G205,"Done")</f>
        <v>81</v>
      </c>
    </row>
    <row r="206" spans="1:11" ht="20" customHeight="1">
      <c r="A206" s="7">
        <v>186</v>
      </c>
      <c r="B206" s="8" t="s">
        <v>361</v>
      </c>
      <c r="C206" s="8"/>
      <c r="D206" s="8" t="s">
        <v>362</v>
      </c>
      <c r="E206" s="7" t="s">
        <v>363</v>
      </c>
      <c r="F206" s="4" t="s">
        <v>420</v>
      </c>
      <c r="G206" s="5" t="str">
        <f t="shared" ref="G206:G210" si="22">IF(H206&lt;&gt;"","Done","Pending")</f>
        <v>Pending</v>
      </c>
      <c r="H206" s="6"/>
      <c r="I206" s="8"/>
      <c r="J206" t="str">
        <f t="shared" si="15"/>
        <v/>
      </c>
      <c r="K206" s="24">
        <f>COUNTIF($G$3:G206,"Done")</f>
        <v>81</v>
      </c>
    </row>
    <row r="207" spans="1:11" ht="20" customHeight="1">
      <c r="A207" s="2">
        <v>187</v>
      </c>
      <c r="B207" s="3" t="s">
        <v>361</v>
      </c>
      <c r="C207" s="3"/>
      <c r="D207" s="3" t="s">
        <v>364</v>
      </c>
      <c r="E207" s="2" t="s">
        <v>365</v>
      </c>
      <c r="F207" s="4" t="s">
        <v>420</v>
      </c>
      <c r="G207" s="5" t="str">
        <f t="shared" si="22"/>
        <v>Pending</v>
      </c>
      <c r="H207" s="6"/>
      <c r="I207" s="3"/>
      <c r="J207" t="str">
        <f t="shared" si="15"/>
        <v/>
      </c>
      <c r="K207" s="24">
        <f>COUNTIF($G$3:G207,"Done")</f>
        <v>81</v>
      </c>
    </row>
    <row r="208" spans="1:11" ht="20" customHeight="1">
      <c r="A208" s="7">
        <v>188</v>
      </c>
      <c r="B208" s="8" t="s">
        <v>361</v>
      </c>
      <c r="C208" s="8"/>
      <c r="D208" s="8" t="s">
        <v>366</v>
      </c>
      <c r="E208" s="7" t="s">
        <v>367</v>
      </c>
      <c r="F208" s="4" t="s">
        <v>420</v>
      </c>
      <c r="G208" s="5" t="str">
        <f t="shared" si="22"/>
        <v>Pending</v>
      </c>
      <c r="H208" s="6"/>
      <c r="I208" s="8"/>
      <c r="J208" t="str">
        <f t="shared" si="15"/>
        <v/>
      </c>
      <c r="K208" s="24">
        <f>COUNTIF($G$3:G208,"Done")</f>
        <v>81</v>
      </c>
    </row>
    <row r="209" spans="1:11" ht="20" customHeight="1">
      <c r="A209" s="2">
        <v>189</v>
      </c>
      <c r="B209" s="3" t="s">
        <v>361</v>
      </c>
      <c r="C209" s="3"/>
      <c r="D209" s="3" t="s">
        <v>368</v>
      </c>
      <c r="E209" s="2" t="s">
        <v>369</v>
      </c>
      <c r="F209" s="10" t="s">
        <v>422</v>
      </c>
      <c r="G209" s="5" t="str">
        <f t="shared" si="22"/>
        <v>Pending</v>
      </c>
      <c r="H209" s="6"/>
      <c r="I209" s="3"/>
      <c r="J209" t="str">
        <f t="shared" si="15"/>
        <v/>
      </c>
      <c r="K209" s="24">
        <f>COUNTIF($G$3:G209,"Done")</f>
        <v>81</v>
      </c>
    </row>
    <row r="210" spans="1:11" ht="20" customHeight="1">
      <c r="A210" s="7">
        <v>190</v>
      </c>
      <c r="B210" s="8" t="s">
        <v>361</v>
      </c>
      <c r="C210" s="8"/>
      <c r="D210" s="8" t="s">
        <v>370</v>
      </c>
      <c r="E210" s="7" t="s">
        <v>371</v>
      </c>
      <c r="F210" s="4" t="s">
        <v>420</v>
      </c>
      <c r="G210" s="5" t="str">
        <f t="shared" si="22"/>
        <v>Pending</v>
      </c>
      <c r="H210" s="6"/>
      <c r="I210" s="8"/>
      <c r="J210" t="str">
        <f t="shared" si="15"/>
        <v/>
      </c>
      <c r="K210" s="24">
        <f>COUNTIF($G$3:G210,"Done")</f>
        <v>81</v>
      </c>
    </row>
    <row r="211" spans="1:11" ht="20" customHeight="1">
      <c r="A211" s="1"/>
      <c r="B211" s="38" t="s">
        <v>372</v>
      </c>
      <c r="C211" s="38"/>
      <c r="D211" s="1"/>
      <c r="E211" s="1"/>
      <c r="F211" s="1"/>
      <c r="G211" s="1"/>
      <c r="H211" s="1"/>
      <c r="I211" s="1"/>
      <c r="K211" s="24">
        <f>COUNTIF($G$3:G211,"Done")</f>
        <v>81</v>
      </c>
    </row>
    <row r="212" spans="1:11" ht="20" customHeight="1">
      <c r="A212" s="2">
        <v>191</v>
      </c>
      <c r="B212" s="3" t="s">
        <v>372</v>
      </c>
      <c r="C212" s="3"/>
      <c r="D212" s="3" t="s">
        <v>373</v>
      </c>
      <c r="E212" s="2" t="s">
        <v>66</v>
      </c>
      <c r="F212" s="4" t="s">
        <v>420</v>
      </c>
      <c r="G212" s="5" t="str">
        <f t="shared" ref="G212:G215" si="23">IF(H212&lt;&gt;"","Done","Pending")</f>
        <v>Pending</v>
      </c>
      <c r="H212" s="6"/>
      <c r="I212" s="3"/>
      <c r="J212" t="str">
        <f t="shared" si="15"/>
        <v/>
      </c>
      <c r="K212" s="24">
        <f>COUNTIF($G$3:G212,"Done")</f>
        <v>81</v>
      </c>
    </row>
    <row r="213" spans="1:11" ht="20" customHeight="1">
      <c r="A213" s="7">
        <v>192</v>
      </c>
      <c r="B213" s="8" t="s">
        <v>372</v>
      </c>
      <c r="C213" s="8"/>
      <c r="D213" s="8" t="s">
        <v>374</v>
      </c>
      <c r="E213" s="7" t="s">
        <v>324</v>
      </c>
      <c r="F213" s="4" t="s">
        <v>420</v>
      </c>
      <c r="G213" s="5" t="str">
        <f t="shared" si="23"/>
        <v>Pending</v>
      </c>
      <c r="H213" s="6"/>
      <c r="I213" s="8"/>
      <c r="J213" t="str">
        <f t="shared" si="15"/>
        <v/>
      </c>
      <c r="K213" s="24">
        <f>COUNTIF($G$3:G213,"Done")</f>
        <v>81</v>
      </c>
    </row>
    <row r="214" spans="1:11" ht="20" customHeight="1">
      <c r="A214" s="2">
        <v>193</v>
      </c>
      <c r="B214" s="3" t="s">
        <v>372</v>
      </c>
      <c r="C214" s="3"/>
      <c r="D214" s="3" t="s">
        <v>375</v>
      </c>
      <c r="E214" s="2" t="s">
        <v>265</v>
      </c>
      <c r="F214" s="4" t="s">
        <v>420</v>
      </c>
      <c r="G214" s="5" t="str">
        <f t="shared" si="23"/>
        <v>Pending</v>
      </c>
      <c r="H214" s="6"/>
      <c r="I214" s="3"/>
      <c r="J214" t="str">
        <f t="shared" si="15"/>
        <v/>
      </c>
      <c r="K214" s="24">
        <f>COUNTIF($G$3:G214,"Done")</f>
        <v>81</v>
      </c>
    </row>
    <row r="215" spans="1:11" ht="20" customHeight="1">
      <c r="A215" s="7">
        <v>194</v>
      </c>
      <c r="B215" s="8" t="s">
        <v>372</v>
      </c>
      <c r="C215" s="8"/>
      <c r="D215" s="8" t="s">
        <v>376</v>
      </c>
      <c r="E215" s="7" t="s">
        <v>377</v>
      </c>
      <c r="F215" s="4" t="s">
        <v>420</v>
      </c>
      <c r="G215" s="5" t="str">
        <f t="shared" si="23"/>
        <v>Pending</v>
      </c>
      <c r="H215" s="6"/>
      <c r="I215" s="8"/>
      <c r="J215" t="str">
        <f t="shared" si="15"/>
        <v/>
      </c>
      <c r="K215" s="24">
        <f>COUNTIF($G$3:G215,"Done")</f>
        <v>81</v>
      </c>
    </row>
  </sheetData>
  <autoFilter ref="A1:I215" xr:uid="{00000000-0009-0000-0000-000000000000}"/>
  <mergeCells count="19">
    <mergeCell ref="B2:C2"/>
    <mergeCell ref="B133:C133"/>
    <mergeCell ref="B89:C89"/>
    <mergeCell ref="B163:C163"/>
    <mergeCell ref="B120:C120"/>
    <mergeCell ref="B147:C147"/>
    <mergeCell ref="B159:C159"/>
    <mergeCell ref="B80:C80"/>
    <mergeCell ref="B154:C154"/>
    <mergeCell ref="B139:C139"/>
    <mergeCell ref="B126:C126"/>
    <mergeCell ref="B94:C94"/>
    <mergeCell ref="B12:C12"/>
    <mergeCell ref="B168:C168"/>
    <mergeCell ref="B211:C211"/>
    <mergeCell ref="B197:C197"/>
    <mergeCell ref="B173:C173"/>
    <mergeCell ref="B184:C184"/>
    <mergeCell ref="B205:C205"/>
  </mergeCells>
  <conditionalFormatting sqref="G1:G1048576">
    <cfRule type="cellIs" dxfId="8" priority="1" operator="equal">
      <formula>"Pending"</formula>
    </cfRule>
    <cfRule type="cellIs" dxfId="7" priority="2" operator="equal">
      <formula>"Done"</formula>
    </cfRule>
  </conditionalFormatting>
  <conditionalFormatting sqref="G2:G215">
    <cfRule type="cellIs" dxfId="6" priority="3" operator="equal">
      <formula>"已完成"</formula>
    </cfRule>
  </conditionalFormatting>
  <pageMargins left="0.75" right="0.75" top="1" bottom="1" header="0.5" footer="0.5"/>
  <ignoredErrors>
    <ignoredError sqref="J2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topLeftCell="C1" workbookViewId="0">
      <selection activeCell="L3" sqref="L3"/>
    </sheetView>
  </sheetViews>
  <sheetFormatPr baseColWidth="10" defaultColWidth="8.83203125" defaultRowHeight="37" customHeight="1"/>
  <cols>
    <col min="1" max="1" width="20" customWidth="1"/>
    <col min="2" max="2" width="55" customWidth="1"/>
    <col min="6" max="6" width="20.83203125" customWidth="1"/>
    <col min="7" max="7" width="27.5" customWidth="1"/>
    <col min="8" max="8" width="87.5" style="15" customWidth="1"/>
    <col min="11" max="11" width="15.5" customWidth="1"/>
    <col min="12" max="12" width="23.1640625" customWidth="1"/>
    <col min="13" max="13" width="15.5" customWidth="1"/>
    <col min="14" max="14" width="27.5" style="32" customWidth="1"/>
    <col min="15" max="15" width="21.83203125" style="25" customWidth="1"/>
    <col min="16" max="16" width="13.5" style="25" customWidth="1"/>
    <col min="17" max="17" width="11.83203125" style="34" customWidth="1"/>
  </cols>
  <sheetData>
    <row r="1" spans="1:17" ht="28" customHeight="1">
      <c r="A1" s="37" t="s">
        <v>378</v>
      </c>
      <c r="B1" s="37"/>
      <c r="F1" s="37" t="s">
        <v>438</v>
      </c>
      <c r="G1" s="37"/>
      <c r="H1" s="37"/>
      <c r="K1" s="37" t="s">
        <v>439</v>
      </c>
      <c r="L1" s="37"/>
      <c r="N1" s="37" t="s">
        <v>448</v>
      </c>
      <c r="O1" s="37"/>
      <c r="Q1" s="25"/>
    </row>
    <row r="2" spans="1:17" ht="19" customHeight="1">
      <c r="A2" s="12" t="s">
        <v>379</v>
      </c>
      <c r="B2" s="11"/>
      <c r="F2" s="12" t="s">
        <v>423</v>
      </c>
      <c r="G2" s="12" t="s">
        <v>424</v>
      </c>
      <c r="H2" s="16" t="s">
        <v>425</v>
      </c>
      <c r="K2" s="12" t="s">
        <v>460</v>
      </c>
      <c r="L2" s="12" t="s">
        <v>461</v>
      </c>
      <c r="M2" t="s">
        <v>464</v>
      </c>
      <c r="N2" s="26" t="s">
        <v>456</v>
      </c>
      <c r="O2" s="27" t="s">
        <v>455</v>
      </c>
      <c r="P2" s="27" t="s">
        <v>417</v>
      </c>
      <c r="Q2" s="27" t="s">
        <v>457</v>
      </c>
    </row>
    <row r="3" spans="1:17" ht="25" customHeight="1">
      <c r="A3" s="11" t="s">
        <v>380</v>
      </c>
      <c r="B3" s="11" t="s">
        <v>381</v>
      </c>
      <c r="F3" s="14" t="s">
        <v>426</v>
      </c>
      <c r="G3" s="17" t="s">
        <v>427</v>
      </c>
      <c r="H3" s="19" t="s">
        <v>434</v>
      </c>
      <c r="K3" t="s">
        <v>462</v>
      </c>
      <c r="L3" t="s">
        <v>463</v>
      </c>
      <c r="M3" t="s">
        <v>465</v>
      </c>
      <c r="N3" s="28" t="s">
        <v>449</v>
      </c>
      <c r="O3" s="29" t="s">
        <v>454</v>
      </c>
      <c r="P3" s="35" t="str">
        <f>IF(Q3&lt;&gt;"","Done","Pending")</f>
        <v>Done</v>
      </c>
      <c r="Q3" s="33">
        <v>46297</v>
      </c>
    </row>
    <row r="4" spans="1:17" ht="37" customHeight="1">
      <c r="A4" s="11" t="s">
        <v>382</v>
      </c>
      <c r="B4" s="11" t="s">
        <v>383</v>
      </c>
      <c r="F4" s="14" t="s">
        <v>428</v>
      </c>
      <c r="G4" s="18" t="s">
        <v>433</v>
      </c>
      <c r="H4" s="19" t="s">
        <v>435</v>
      </c>
      <c r="N4" s="30"/>
      <c r="O4" s="29" t="s">
        <v>458</v>
      </c>
      <c r="P4" s="35" t="str">
        <f t="shared" ref="P4:P32" si="0">IF(Q4&lt;&gt;"","Done","Pending")</f>
        <v>Pending</v>
      </c>
    </row>
    <row r="5" spans="1:17" ht="50" customHeight="1">
      <c r="A5" s="11"/>
      <c r="B5" s="11"/>
      <c r="F5" s="14" t="s">
        <v>429</v>
      </c>
      <c r="G5" s="17" t="s">
        <v>430</v>
      </c>
      <c r="H5" s="19" t="s">
        <v>436</v>
      </c>
      <c r="N5" s="30"/>
      <c r="O5" s="29"/>
      <c r="P5" s="35" t="str">
        <f t="shared" si="0"/>
        <v>Pending</v>
      </c>
    </row>
    <row r="6" spans="1:17" ht="37" customHeight="1">
      <c r="A6" s="12" t="s">
        <v>384</v>
      </c>
      <c r="B6" s="11"/>
      <c r="F6" s="14" t="s">
        <v>431</v>
      </c>
      <c r="G6" s="17" t="s">
        <v>432</v>
      </c>
      <c r="H6" s="19" t="s">
        <v>437</v>
      </c>
      <c r="N6" s="30"/>
      <c r="O6" s="29"/>
      <c r="P6" s="35" t="str">
        <f t="shared" si="0"/>
        <v>Pending</v>
      </c>
    </row>
    <row r="7" spans="1:17" ht="21" customHeight="1">
      <c r="A7" s="11" t="s">
        <v>385</v>
      </c>
      <c r="B7" s="11" t="s">
        <v>386</v>
      </c>
      <c r="N7" s="31" t="s">
        <v>451</v>
      </c>
      <c r="O7" s="29"/>
      <c r="P7" s="35" t="str">
        <f t="shared" si="0"/>
        <v>Pending</v>
      </c>
    </row>
    <row r="8" spans="1:17" ht="21" customHeight="1">
      <c r="A8" s="11" t="s">
        <v>387</v>
      </c>
      <c r="B8" s="11" t="s">
        <v>388</v>
      </c>
      <c r="N8" s="31" t="s">
        <v>452</v>
      </c>
      <c r="O8" s="29"/>
      <c r="P8" s="35" t="str">
        <f t="shared" si="0"/>
        <v>Pending</v>
      </c>
    </row>
    <row r="9" spans="1:17" ht="21" customHeight="1">
      <c r="A9" s="11" t="s">
        <v>389</v>
      </c>
      <c r="B9" s="11" t="s">
        <v>390</v>
      </c>
      <c r="N9" s="28" t="s">
        <v>450</v>
      </c>
      <c r="O9" s="29"/>
      <c r="P9" s="35" t="str">
        <f t="shared" si="0"/>
        <v>Pending</v>
      </c>
    </row>
    <row r="10" spans="1:17" ht="21" customHeight="1">
      <c r="A10" s="11" t="s">
        <v>391</v>
      </c>
      <c r="B10" s="11" t="s">
        <v>392</v>
      </c>
      <c r="P10" s="35" t="str">
        <f t="shared" si="0"/>
        <v>Pending</v>
      </c>
    </row>
    <row r="11" spans="1:17" ht="21" customHeight="1">
      <c r="A11" s="11" t="s">
        <v>393</v>
      </c>
      <c r="B11" s="11" t="s">
        <v>394</v>
      </c>
      <c r="P11" s="35" t="str">
        <f t="shared" si="0"/>
        <v>Pending</v>
      </c>
    </row>
    <row r="12" spans="1:17" ht="21" customHeight="1">
      <c r="A12" s="11"/>
      <c r="B12" s="11"/>
      <c r="N12" s="36" t="s">
        <v>459</v>
      </c>
      <c r="P12" s="35" t="str">
        <f t="shared" si="0"/>
        <v>Pending</v>
      </c>
    </row>
    <row r="13" spans="1:17" ht="21" customHeight="1">
      <c r="A13" s="12" t="s">
        <v>395</v>
      </c>
      <c r="B13" s="11"/>
      <c r="P13" s="35" t="str">
        <f t="shared" si="0"/>
        <v>Pending</v>
      </c>
    </row>
    <row r="14" spans="1:17" ht="21" customHeight="1">
      <c r="A14" s="11" t="s">
        <v>4</v>
      </c>
      <c r="B14" s="11" t="s">
        <v>396</v>
      </c>
      <c r="P14" s="35" t="str">
        <f t="shared" si="0"/>
        <v>Pending</v>
      </c>
    </row>
    <row r="15" spans="1:17" ht="21" customHeight="1">
      <c r="A15" s="11" t="s">
        <v>8</v>
      </c>
      <c r="B15" s="11" t="s">
        <v>397</v>
      </c>
      <c r="P15" s="35" t="str">
        <f t="shared" si="0"/>
        <v>Pending</v>
      </c>
    </row>
    <row r="16" spans="1:17" ht="21" customHeight="1">
      <c r="A16" s="11" t="s">
        <v>14</v>
      </c>
      <c r="B16" s="11" t="s">
        <v>398</v>
      </c>
      <c r="P16" s="35" t="str">
        <f t="shared" si="0"/>
        <v>Pending</v>
      </c>
    </row>
    <row r="17" spans="1:16" ht="21" customHeight="1">
      <c r="A17" s="11"/>
      <c r="B17" s="11"/>
      <c r="P17" s="35" t="str">
        <f t="shared" si="0"/>
        <v>Pending</v>
      </c>
    </row>
    <row r="18" spans="1:16" ht="21" customHeight="1">
      <c r="A18" s="12" t="s">
        <v>399</v>
      </c>
      <c r="B18" s="11"/>
      <c r="P18" s="35" t="str">
        <f t="shared" si="0"/>
        <v>Pending</v>
      </c>
    </row>
    <row r="19" spans="1:16" ht="21" customHeight="1">
      <c r="A19" s="11" t="s">
        <v>400</v>
      </c>
      <c r="B19" s="11" t="s">
        <v>401</v>
      </c>
      <c r="P19" s="35" t="str">
        <f t="shared" si="0"/>
        <v>Pending</v>
      </c>
    </row>
    <row r="20" spans="1:16" ht="21" customHeight="1">
      <c r="A20" s="11" t="s">
        <v>402</v>
      </c>
      <c r="B20" s="11" t="s">
        <v>403</v>
      </c>
      <c r="P20" s="35" t="str">
        <f t="shared" si="0"/>
        <v>Pending</v>
      </c>
    </row>
    <row r="21" spans="1:16" ht="21" customHeight="1">
      <c r="A21" s="11" t="s">
        <v>404</v>
      </c>
      <c r="B21" s="11" t="s">
        <v>405</v>
      </c>
      <c r="P21" s="35" t="str">
        <f t="shared" si="0"/>
        <v>Pending</v>
      </c>
    </row>
    <row r="22" spans="1:16" ht="21" customHeight="1">
      <c r="A22" s="11" t="s">
        <v>406</v>
      </c>
      <c r="B22" s="11" t="s">
        <v>407</v>
      </c>
      <c r="P22" s="35" t="str">
        <f t="shared" si="0"/>
        <v>Pending</v>
      </c>
    </row>
    <row r="23" spans="1:16" ht="21" customHeight="1">
      <c r="A23" s="11" t="s">
        <v>408</v>
      </c>
      <c r="B23" s="11" t="s">
        <v>409</v>
      </c>
      <c r="P23" s="35" t="str">
        <f t="shared" si="0"/>
        <v>Pending</v>
      </c>
    </row>
    <row r="24" spans="1:16" ht="21" customHeight="1">
      <c r="P24" s="35" t="str">
        <f t="shared" si="0"/>
        <v>Pending</v>
      </c>
    </row>
    <row r="25" spans="1:16" ht="37" customHeight="1">
      <c r="P25" s="35" t="str">
        <f t="shared" si="0"/>
        <v>Pending</v>
      </c>
    </row>
    <row r="26" spans="1:16" ht="37" customHeight="1">
      <c r="P26" s="35" t="str">
        <f t="shared" si="0"/>
        <v>Pending</v>
      </c>
    </row>
    <row r="27" spans="1:16" ht="37" customHeight="1">
      <c r="P27" s="35" t="str">
        <f t="shared" si="0"/>
        <v>Pending</v>
      </c>
    </row>
    <row r="28" spans="1:16" ht="37" customHeight="1">
      <c r="P28" s="35" t="str">
        <f t="shared" si="0"/>
        <v>Pending</v>
      </c>
    </row>
    <row r="29" spans="1:16" ht="37" customHeight="1">
      <c r="P29" s="35" t="str">
        <f t="shared" si="0"/>
        <v>Pending</v>
      </c>
    </row>
    <row r="30" spans="1:16" ht="37" customHeight="1">
      <c r="P30" s="35" t="str">
        <f t="shared" si="0"/>
        <v>Pending</v>
      </c>
    </row>
    <row r="31" spans="1:16" ht="37" customHeight="1">
      <c r="P31" s="35" t="str">
        <f t="shared" si="0"/>
        <v>Pending</v>
      </c>
    </row>
    <row r="32" spans="1:16" ht="37" customHeight="1">
      <c r="P32" s="35" t="str">
        <f t="shared" si="0"/>
        <v>Pending</v>
      </c>
    </row>
  </sheetData>
  <mergeCells count="4">
    <mergeCell ref="A1:B1"/>
    <mergeCell ref="K1:L1"/>
    <mergeCell ref="F1:H1"/>
    <mergeCell ref="N1:O1"/>
  </mergeCells>
  <conditionalFormatting sqref="P3:P32">
    <cfRule type="cellIs" dxfId="5" priority="1" operator="equal">
      <formula>"Pending"</formula>
    </cfRule>
    <cfRule type="cellIs" dxfId="4" priority="2" operator="equal">
      <formula>"Done"</formula>
    </cfRule>
    <cfRule type="cellIs" dxfId="3" priority="3" operator="equal">
      <formula>"已完成"</formula>
    </cfRule>
  </conditionalFormatting>
  <hyperlinks>
    <hyperlink ref="N3" r:id="rId1" xr:uid="{9A37A3C7-CBFE-4146-B59A-FA044143BB36}"/>
    <hyperlink ref="N9" r:id="rId2" xr:uid="{0B0ADDF0-D173-5B4F-9902-098AA5491551}"/>
    <hyperlink ref="N7" r:id="rId3" xr:uid="{5BC376E2-5ADC-F043-973F-256DA036B079}"/>
    <hyperlink ref="N8" r:id="rId4" xr:uid="{C7040BD1-70D5-BC41-A914-3E6B27B4228A}"/>
    <hyperlink ref="N12" r:id="rId5" xr:uid="{9E6E4015-A9C4-4241-A135-519F25BDA421}"/>
  </hyperlinks>
  <pageMargins left="0.75" right="0.75" top="1" bottom="1" header="0.5" footer="0.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16ED-6522-D243-8581-1A2BB1B0441F}">
  <dimension ref="B1:J4"/>
  <sheetViews>
    <sheetView workbookViewId="0">
      <selection activeCell="D57" sqref="D57"/>
    </sheetView>
  </sheetViews>
  <sheetFormatPr baseColWidth="10" defaultRowHeight="15"/>
  <sheetData>
    <row r="1" spans="2:10" ht="36">
      <c r="B1" s="13" t="s">
        <v>411</v>
      </c>
      <c r="C1" s="13" t="s">
        <v>412</v>
      </c>
      <c r="D1" s="13" t="s">
        <v>413</v>
      </c>
      <c r="E1" s="13" t="s">
        <v>414</v>
      </c>
      <c r="F1" s="13" t="s">
        <v>415</v>
      </c>
      <c r="G1" s="13" t="s">
        <v>416</v>
      </c>
      <c r="H1" s="13" t="s">
        <v>417</v>
      </c>
      <c r="I1" s="13" t="s">
        <v>418</v>
      </c>
      <c r="J1" s="13" t="s">
        <v>419</v>
      </c>
    </row>
    <row r="2" spans="2:10" ht="17">
      <c r="B2" s="1"/>
      <c r="C2" s="38" t="s">
        <v>0</v>
      </c>
      <c r="D2" s="38"/>
      <c r="E2" s="1"/>
      <c r="F2" s="1"/>
      <c r="G2" s="1"/>
      <c r="H2" s="1"/>
      <c r="I2" s="1"/>
      <c r="J2" s="1"/>
    </row>
    <row r="3" spans="2:10" ht="68">
      <c r="B3" s="2">
        <v>1</v>
      </c>
      <c r="C3" s="3" t="s">
        <v>0</v>
      </c>
      <c r="D3" s="3" t="s">
        <v>1</v>
      </c>
      <c r="E3" s="3" t="s">
        <v>2</v>
      </c>
      <c r="F3" s="2" t="s">
        <v>3</v>
      </c>
      <c r="G3" s="4" t="s">
        <v>420</v>
      </c>
      <c r="H3" s="5" t="str">
        <f>IF(I3&lt;&gt;"","Done","Pending")</f>
        <v>Done</v>
      </c>
      <c r="I3" s="6">
        <v>46287</v>
      </c>
      <c r="J3" s="3"/>
    </row>
    <row r="4" spans="2:10" ht="51">
      <c r="B4" s="7">
        <v>2</v>
      </c>
      <c r="C4" s="8" t="s">
        <v>0</v>
      </c>
      <c r="D4" s="8" t="s">
        <v>5</v>
      </c>
      <c r="E4" s="8" t="s">
        <v>6</v>
      </c>
      <c r="F4" s="7" t="s">
        <v>7</v>
      </c>
      <c r="G4" s="9" t="s">
        <v>421</v>
      </c>
      <c r="H4" s="5" t="str">
        <f t="shared" ref="H4" si="0">IF(I4&lt;&gt;"","Done","Pending")</f>
        <v>Done</v>
      </c>
      <c r="I4" s="6">
        <v>46287</v>
      </c>
      <c r="J4" s="8"/>
    </row>
  </sheetData>
  <mergeCells count="1">
    <mergeCell ref="C2:D2"/>
  </mergeCells>
  <conditionalFormatting sqref="H1:H4">
    <cfRule type="cellIs" dxfId="2" priority="1" operator="equal">
      <formula>"Pending"</formula>
    </cfRule>
    <cfRule type="cellIs" dxfId="1" priority="2" operator="equal">
      <formula>"Done"</formula>
    </cfRule>
  </conditionalFormatting>
  <conditionalFormatting sqref="H2:H4">
    <cfRule type="cellIs" dxfId="0" priority="3" operator="equal">
      <formula>"已完成"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学习进度追踪</vt:lpstr>
      <vt:lpstr>n1</vt:lpstr>
      <vt:lpstr>Git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 Frank</cp:lastModifiedBy>
  <dcterms:created xsi:type="dcterms:W3CDTF">2026-09-22T03:40:33Z</dcterms:created>
  <dcterms:modified xsi:type="dcterms:W3CDTF">2026-10-13T12:36:20Z</dcterms:modified>
</cp:coreProperties>
</file>